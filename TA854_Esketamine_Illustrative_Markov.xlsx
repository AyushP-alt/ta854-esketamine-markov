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  <sheet name="Parameters" sheetId="2" state="visible" r:id="rId3"/>
    <sheet name="Notes" sheetId="3" state="visible" r:id="rId4"/>
    <sheet name="Trace_Esketamine" sheetId="4" state="visible" r:id="rId5"/>
    <sheet name="Trace_Comparator" sheetId="5" state="visible" r:id="rId6"/>
  </sheets>
  <definedNames>
    <definedName function="false" hidden="false" name="AdminSession" vbProcedure="false">Parameters!$B$26</definedName>
    <definedName function="false" hidden="false" name="cDep" vbProcedure="false">Parameters!$B$23</definedName>
    <definedName function="false" hidden="false" name="cOral" vbProcedure="false">Parameters!$B$30</definedName>
    <definedName function="false" hidden="false" name="cResp" vbProcedure="false">Parameters!$B$24</definedName>
    <definedName function="false" hidden="false" name="CycleLength" vbProcedure="false">Parameters!$B$5</definedName>
    <definedName function="false" hidden="false" name="DiscRate" vbProcedure="false">Parameters!$B$6</definedName>
    <definedName function="false" hidden="false" name="Horizon" vbProcedure="false">Parameters!$B$7</definedName>
    <definedName function="false" hidden="false" name="NCycles" vbProcedure="false">Parameters!$B$8</definedName>
    <definedName function="false" hidden="false" name="pRelComp" vbProcedure="false">Parameters!$B$15</definedName>
    <definedName function="false" hidden="false" name="pRelEsk" vbProcedure="false">Parameters!$B$14</definedName>
    <definedName function="false" hidden="false" name="pReResp" vbProcedure="false">Parameters!$B$16</definedName>
    <definedName function="false" hidden="false" name="pRespComp" vbProcedure="false">Parameters!$B$13</definedName>
    <definedName function="false" hidden="false" name="pRespEsk" vbProcedure="false">Parameters!$B$12</definedName>
    <definedName function="false" hidden="false" name="PriceSession" vbProcedure="false">Parameters!$B$25</definedName>
    <definedName function="false" hidden="false" name="qx" vbProcedure="false">Parameters!$B$9</definedName>
    <definedName function="false" hidden="false" name="Sess0" vbProcedure="false">Parameters!$B$27</definedName>
    <definedName function="false" hidden="false" name="Sess1" vbProcedure="false">Parameters!$B$28</definedName>
    <definedName function="false" hidden="false" name="Sess2" vbProcedure="false">Parameters!$B$29</definedName>
    <definedName function="false" hidden="false" name="TreatCycles" vbProcedure="false">Parameters!$B$17</definedName>
    <definedName function="false" hidden="false" name="uDep" vbProcedure="false">Parameters!$B$21</definedName>
    <definedName function="false" hidden="false" name="uResp" vbProcedure="false">Parameters!$B$22</definedName>
    <definedName function="false" hidden="false" name="Waning" vbProcedure="false">Parameters!$B$18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<sst xmlns="http://schemas.openxmlformats.org/spreadsheetml/2006/main" count="157" uniqueCount="133">
  <si>
    <t xml:space="preserve">RESULTS – Corrected Illustrative TA854 Model</t>
  </si>
  <si>
    <t xml:space="preserve">Strategy</t>
  </si>
  <si>
    <t xml:space="preserve">Discounted Cost (£)</t>
  </si>
  <si>
    <t xml:space="preserve">Discounted QALYs</t>
  </si>
  <si>
    <t xml:space="preserve">Undiscounted LYs</t>
  </si>
  <si>
    <t xml:space="preserve">Esketamine + OAD</t>
  </si>
  <si>
    <t xml:space="preserve">Comparator</t>
  </si>
  <si>
    <t xml:space="preserve">Incremental cost (£)</t>
  </si>
  <si>
    <t xml:space="preserve">Incremental QALY</t>
  </si>
  <si>
    <t xml:space="preserve">ICER (£/QALY)</t>
  </si>
  <si>
    <t xml:space="preserve">Validation</t>
  </si>
  <si>
    <t xml:space="preserve">Esketamine final state sum</t>
  </si>
  <si>
    <t xml:space="preserve">Comparator final state sum</t>
  </si>
  <si>
    <t xml:space="preserve">Undiscounted drug+admin (esketamine)</t>
  </si>
  <si>
    <t xml:space="preserve">Illustrative Cohort Markov – NICE TA854 (Esketamine)</t>
  </si>
  <si>
    <t xml:space="preserve">Corrected version: Effect affects relapse only; sessions billed on eligible stock; cycle &lt; TreatCycles.</t>
  </si>
  <si>
    <t xml:space="preserve">MODEL SETTINGS</t>
  </si>
  <si>
    <t xml:space="preserve">Cycle length (years)</t>
  </si>
  <si>
    <t xml:space="preserve">CycleLength</t>
  </si>
  <si>
    <t xml:space="preserve">4-week cycles</t>
  </si>
  <si>
    <t xml:space="preserve">Discount rate</t>
  </si>
  <si>
    <t xml:space="preserve">DiscRate</t>
  </si>
  <si>
    <t xml:space="preserve">NICE reference case</t>
  </si>
  <si>
    <t xml:space="preserve">Time horizon (years)</t>
  </si>
  <si>
    <t xml:space="preserve">Horizon</t>
  </si>
  <si>
    <t xml:space="preserve">Company original (TA854 3.24)</t>
  </si>
  <si>
    <t xml:space="preserve">Number of cycles</t>
  </si>
  <si>
    <t xml:space="preserve">NCycles</t>
  </si>
  <si>
    <t xml:space="preserve">Calculated</t>
  </si>
  <si>
    <t xml:space="preserve">Annual background mortality</t>
  </si>
  <si>
    <t xml:space="preserve">qx</t>
  </si>
  <si>
    <t xml:space="preserve">Approx. ONS age 46</t>
  </si>
  <si>
    <t xml:space="preserve">CLINICAL TRANSITIONS</t>
  </si>
  <si>
    <t xml:space="preserve">Induction response – esketamine</t>
  </si>
  <si>
    <t xml:space="preserve">pRespEsk</t>
  </si>
  <si>
    <t xml:space="preserve">TRANSFORM-2 (~69%)</t>
  </si>
  <si>
    <t xml:space="preserve">Induction response – comparator</t>
  </si>
  <si>
    <t xml:space="preserve">pRespComp</t>
  </si>
  <si>
    <t xml:space="preserve">TRANSFORM-2 (~52%)</t>
  </si>
  <si>
    <t xml:space="preserve">4-week relapse – esketamine</t>
  </si>
  <si>
    <t xml:space="preserve">pRelEsk</t>
  </si>
  <si>
    <t xml:space="preserve">Derived from SUSTAIN-1</t>
  </si>
  <si>
    <t xml:space="preserve">4-week relapse – comparator</t>
  </si>
  <si>
    <t xml:space="preserve">pRelComp</t>
  </si>
  <si>
    <t xml:space="preserve">Derived from SUSTAIN-1 placebo</t>
  </si>
  <si>
    <t xml:space="preserve">Re-response after cycle 1 (both arms)</t>
  </si>
  <si>
    <t xml:space="preserve">pReResp</t>
  </si>
  <si>
    <t xml:space="preserve">Fixed; not multiplied by Effect</t>
  </si>
  <si>
    <t xml:space="preserve">Treatment cycles (drug stops when cycle &gt;= this)</t>
  </si>
  <si>
    <t xml:space="preserve">TreatCycles</t>
  </si>
  <si>
    <t xml:space="preserve">Test is cycle &lt; TreatCycles</t>
  </si>
  <si>
    <t xml:space="preserve">Waning per cycle after stop</t>
  </si>
  <si>
    <t xml:space="preserve">Waning</t>
  </si>
  <si>
    <t xml:space="preserve">Affects Effect → relapse only</t>
  </si>
  <si>
    <t xml:space="preserve">UTILITIES AND COSTS</t>
  </si>
  <si>
    <t xml:space="preserve">Utility depressed</t>
  </si>
  <si>
    <t xml:space="preserve">uDep</t>
  </si>
  <si>
    <t xml:space="preserve">TA854 3.26</t>
  </si>
  <si>
    <t xml:space="preserve">Utility responding (combined)</t>
  </si>
  <si>
    <t xml:space="preserve">uResp</t>
  </si>
  <si>
    <t xml:space="preserve">Weighted response/remission</t>
  </si>
  <si>
    <t xml:space="preserve">Cost depressed / cycle (£)</t>
  </si>
  <si>
    <t xml:space="preserve">cDep</t>
  </si>
  <si>
    <t xml:space="preserve">UK chart review</t>
  </si>
  <si>
    <t xml:space="preserve">Cost responding / cycle (£)</t>
  </si>
  <si>
    <t xml:space="preserve">cResp</t>
  </si>
  <si>
    <t xml:space="preserve">Esketamine price / session (£)</t>
  </si>
  <si>
    <t xml:space="preserve">PriceSession</t>
  </si>
  <si>
    <t xml:space="preserve">TA854 2.3 list price 84 mg</t>
  </si>
  <si>
    <t xml:space="preserve">Admin cost / session (£)</t>
  </si>
  <si>
    <t xml:space="preserve">AdminSession</t>
  </si>
  <si>
    <t xml:space="preserve">Company-style</t>
  </si>
  <si>
    <t xml:space="preserve">Sessions cycle 0 (induction)</t>
  </si>
  <si>
    <t xml:space="preserve">Sess0</t>
  </si>
  <si>
    <t xml:space="preserve">Billed to everyone alive</t>
  </si>
  <si>
    <t xml:space="preserve">Sessions cycle 1</t>
  </si>
  <si>
    <t xml:space="preserve">Sess1</t>
  </si>
  <si>
    <t xml:space="preserve">Early maintenance</t>
  </si>
  <si>
    <t xml:space="preserve">Sessions cycle 2+</t>
  </si>
  <si>
    <t xml:space="preserve">Sess2</t>
  </si>
  <si>
    <t xml:space="preserve">Later maintenance</t>
  </si>
  <si>
    <t xml:space="preserve">Oral antidepressant cost / cycle (£)</t>
  </si>
  <si>
    <t xml:space="preserve">cOral</t>
  </si>
  <si>
    <t xml:space="preserve">Applied to both arms while alive</t>
  </si>
  <si>
    <t xml:space="preserve">Corrections applied</t>
  </si>
  <si>
    <t xml:space="preserve">1. Responding update no longer multiplies re-response by Effect.</t>
  </si>
  <si>
    <t xml:space="preserve">   Re-response (pReResp = 0.08) is fixed for both arms after induction.</t>
  </si>
  <si>
    <t xml:space="preserve">   Effect is used only to interpolate the relapse probability on the esketamine arm.</t>
  </si>
  <si>
    <t xml:space="preserve">2. Session billing:</t>
  </si>
  <si>
    <t xml:space="preserve">   • Cycle 0: 8 sessions × everyone alive.</t>
  </si>
  <si>
    <t xml:space="preserve">   • Cycles 1–8: 4 then 2 sessions × eligible responding stock only.</t>
  </si>
  <si>
    <t xml:space="preserve">   • Cycle ≥ TreatCycles: no drug or admin costs.</t>
  </si>
  <si>
    <t xml:space="preserve">   • Test is cycle &lt; TreatCycles (not &lt;=).</t>
  </si>
  <si>
    <t xml:space="preserve">3. Responding is split into two stocks:</t>
  </si>
  <si>
    <t xml:space="preserve">   • EligibleResp: induction responders who have not relapsed (this is OnTx).</t>
  </si>
  <si>
    <t xml:space="preserve">   • IneligibleResp: later responders from the induction-failure pool.</t>
  </si>
  <si>
    <t xml:space="preserve">   Health-state costs and QALYs use the combined Responding total.</t>
  </si>
  <si>
    <t xml:space="preserve">   The split affects drug/admin costs only.</t>
  </si>
  <si>
    <t xml:space="preserve">4. This remains an illustrative 3-state (depressed / responding / dead) model.</t>
  </si>
  <si>
    <t xml:space="preserve">5. Depressed is now split:</t>
  </si>
  <si>
    <t xml:space="preserve">   • DepNever: never responded at induction.</t>
  </si>
  <si>
    <t xml:space="preserve">   • DepRelapsed: relapsed from the eligible stock.</t>
  </si>
  <si>
    <t xml:space="preserve">   People who relapse from Eligible can re-enter EligibleResp on re-response</t>
  </si>
  <si>
    <t xml:space="preserve">   (and keep the esketamine relapse rate). This matches the Python engine.</t>
  </si>
  <si>
    <t xml:space="preserve">6. Additional alignment with Python engine:</t>
  </si>
  <si>
    <t xml:space="preserve">   • Stops at cycle 64 (not 65).</t>
  </si>
  <si>
    <t xml:space="preserve">   • Half-cycle correction applied to QALYs.</t>
  </si>
  <si>
    <t xml:space="preserve">   • Mid-cycle discounting.</t>
  </si>
  <si>
    <t xml:space="preserve">   • £4 oral antidepressant cost per cycle (both arms, while alive).</t>
  </si>
  <si>
    <t xml:space="preserve">   • Mortality probability = 1-(1-qx)^(1/13) applied inside the transition.</t>
  </si>
  <si>
    <t xml:space="preserve">Cycle</t>
  </si>
  <si>
    <t xml:space="preserve">Year</t>
  </si>
  <si>
    <t xml:space="preserve">DepNever</t>
  </si>
  <si>
    <t xml:space="preserve">DepRelapsed</t>
  </si>
  <si>
    <t xml:space="preserve">Depressed</t>
  </si>
  <si>
    <t xml:space="preserve">EligResp</t>
  </si>
  <si>
    <t xml:space="preserve">IneligResp</t>
  </si>
  <si>
    <t xml:space="preserve">Responding</t>
  </si>
  <si>
    <t xml:space="preserve">Dead</t>
  </si>
  <si>
    <t xml:space="preserve">StateSum</t>
  </si>
  <si>
    <t xml:space="preserve">OnTx</t>
  </si>
  <si>
    <t xml:space="preserve">Effect</t>
  </si>
  <si>
    <t xml:space="preserve">pRelapse</t>
  </si>
  <si>
    <t xml:space="preserve">Sessions</t>
  </si>
  <si>
    <t xml:space="preserve">DrugCost</t>
  </si>
  <si>
    <t xml:space="preserve">OralCost</t>
  </si>
  <si>
    <t xml:space="preserve">StateCost</t>
  </si>
  <si>
    <t xml:space="preserve">TotalCost</t>
  </si>
  <si>
    <t xml:space="preserve">QALY</t>
  </si>
  <si>
    <t xml:space="preserve">HalfQALY</t>
  </si>
  <si>
    <t xml:space="preserve">DiscF</t>
  </si>
  <si>
    <t xml:space="preserve">DiscCost</t>
  </si>
  <si>
    <t xml:space="preserve">DiscQALY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</si>
</sst>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"/>
    <numFmt numFmtId="166" formatCode="0.000"/>
    <numFmt numFmtId="167" formatCode="0.000000"/>
    <numFmt numFmtId="168" formatCode="0.0000"/>
    <numFmt numFmtId="169" formatCode="0"/>
    <numFmt numFmtId="170" formatCode="\£#,##0.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5E9"/>
        <bgColor rgb="FFD6EAF8"/>
      </patternFill>
    </fill>
    <fill>
      <patternFill patternType="solid">
        <fgColor rgb="FFD6EAF8"/>
        <bgColor rgb="FFE8F5E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20"/>
  </cols>
  <sheetData>
    <row r="1" customFormat="false" ht="1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1" t="s">
        <v>5</v>
      </c>
      <c r="B4" s="4" t="n">
        <f aca="false">SUM(Trace_Esketamine!V2:V66)</f>
        <v>46944.209483434</v>
      </c>
      <c r="C4" s="5" t="n">
        <f aca="false">SUM(Trace_Esketamine!W2:W66)</f>
        <v>2.73635664874335</v>
      </c>
      <c r="D4" s="5" t="n">
        <f aca="false">SUMPRODUCT((Trace_Esketamine!E2:E66+Trace_Esketamine!H2:H66)*CycleLength)</f>
        <v>4.98034401051561</v>
      </c>
    </row>
    <row r="5" customFormat="false" ht="15" hidden="false" customHeight="true" outlineLevel="0" collapsed="false">
      <c r="A5" s="1" t="s">
        <v>6</v>
      </c>
      <c r="B5" s="4" t="n">
        <f aca="false">SUM(Trace_Comparator!V2:V66)</f>
        <v>39611.0285841719</v>
      </c>
      <c r="C5" s="5" t="n">
        <f aca="false">SUM(Trace_Comparator!W2:W66)</f>
        <v>2.65217055671909</v>
      </c>
      <c r="D5" s="5" t="n">
        <f aca="false">SUMPRODUCT((Trace_Comparator!E2:E66+Trace_Comparator!H2:H66)*CycleLength)</f>
        <v>4.98034401051562</v>
      </c>
    </row>
    <row r="7" customFormat="false" ht="15" hidden="false" customHeight="true" outlineLevel="0" collapsed="false">
      <c r="A7" s="1" t="s">
        <v>7</v>
      </c>
      <c r="B7" s="6" t="n">
        <f aca="false">B4-B5</f>
        <v>7333.18089926214</v>
      </c>
    </row>
    <row r="8" customFormat="false" ht="15" hidden="false" customHeight="true" outlineLevel="0" collapsed="false">
      <c r="A8" s="1" t="s">
        <v>8</v>
      </c>
      <c r="B8" s="7" t="n">
        <f aca="false">C4-C5</f>
        <v>0.0841860920242632</v>
      </c>
    </row>
    <row r="9" customFormat="false" ht="15" hidden="false" customHeight="true" outlineLevel="0" collapsed="false">
      <c r="A9" s="1" t="s">
        <v>9</v>
      </c>
      <c r="B9" s="8" t="n">
        <f aca="false">IF(B8&lt;=0,"n/a",B7/B8)</f>
        <v>87106.7978443357</v>
      </c>
    </row>
    <row r="11" customFormat="false" ht="15" hidden="false" customHeight="true" outlineLevel="0" collapsed="false">
      <c r="A11" s="1" t="s">
        <v>10</v>
      </c>
    </row>
    <row r="12" customFormat="false" ht="15" hidden="false" customHeight="true" outlineLevel="0" collapsed="false">
      <c r="A12" s="1" t="s">
        <v>11</v>
      </c>
      <c r="B12" s="9" t="n">
        <f aca="false">Trace_Esketamine!J66</f>
        <v>1</v>
      </c>
    </row>
    <row r="13" customFormat="false" ht="15" hidden="false" customHeight="true" outlineLevel="0" collapsed="false">
      <c r="A13" s="1" t="s">
        <v>12</v>
      </c>
      <c r="B13" s="9" t="n">
        <f aca="false">Trace_Comparator!J66</f>
        <v>1</v>
      </c>
    </row>
    <row r="14" customFormat="false" ht="15" hidden="false" customHeight="true" outlineLevel="0" collapsed="false">
      <c r="A14" s="1" t="s">
        <v>13</v>
      </c>
      <c r="B14" s="1" t="n">
        <f aca="false">SUM(Trace_Esketamine!O2:O66)</f>
        <v>9502.89151492907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6"/>
    <col collapsed="false" customWidth="true" hidden="false" outlineLevel="0" max="4" min="4" style="1" width="45"/>
  </cols>
  <sheetData>
    <row r="1" customFormat="false" ht="15" hidden="false" customHeight="true" outlineLevel="0" collapsed="false">
      <c r="A1" s="2" t="s">
        <v>14</v>
      </c>
      <c r="B1" s="2"/>
      <c r="C1" s="2"/>
      <c r="D1" s="2"/>
      <c r="E1" s="2"/>
    </row>
    <row r="2" customFormat="false" ht="15" hidden="false" customHeight="true" outlineLevel="0" collapsed="false">
      <c r="A2" s="10" t="s">
        <v>15</v>
      </c>
      <c r="B2" s="10"/>
      <c r="C2" s="10"/>
      <c r="D2" s="10"/>
      <c r="E2" s="10"/>
    </row>
    <row r="4" customFormat="false" ht="15" hidden="false" customHeight="true" outlineLevel="0" collapsed="false">
      <c r="A4" s="11" t="s">
        <v>16</v>
      </c>
    </row>
    <row r="5" customFormat="false" ht="15" hidden="false" customHeight="true" outlineLevel="0" collapsed="false">
      <c r="A5" s="12" t="s">
        <v>17</v>
      </c>
      <c r="B5" s="13" t="n">
        <v>0.0769230769230769</v>
      </c>
      <c r="C5" s="14" t="s">
        <v>18</v>
      </c>
      <c r="D5" s="15" t="s">
        <v>19</v>
      </c>
    </row>
    <row r="6" customFormat="false" ht="15" hidden="false" customHeight="true" outlineLevel="0" collapsed="false">
      <c r="A6" s="12" t="s">
        <v>20</v>
      </c>
      <c r="B6" s="13" t="n">
        <v>0.035</v>
      </c>
      <c r="C6" s="14" t="s">
        <v>21</v>
      </c>
      <c r="D6" s="15" t="s">
        <v>22</v>
      </c>
    </row>
    <row r="7" customFormat="false" ht="15" hidden="false" customHeight="true" outlineLevel="0" collapsed="false">
      <c r="A7" s="12" t="s">
        <v>23</v>
      </c>
      <c r="B7" s="16" t="n">
        <v>5</v>
      </c>
      <c r="C7" s="14" t="s">
        <v>24</v>
      </c>
      <c r="D7" s="15" t="s">
        <v>25</v>
      </c>
    </row>
    <row r="8" customFormat="false" ht="15" hidden="false" customHeight="true" outlineLevel="0" collapsed="false">
      <c r="A8" s="12" t="s">
        <v>26</v>
      </c>
      <c r="B8" s="17" t="n">
        <f aca="false">ROUND(Horizon/CycleLength,0)</f>
        <v>65</v>
      </c>
      <c r="C8" s="14" t="s">
        <v>27</v>
      </c>
      <c r="D8" s="15" t="s">
        <v>28</v>
      </c>
    </row>
    <row r="9" customFormat="false" ht="15" hidden="false" customHeight="true" outlineLevel="0" collapsed="false">
      <c r="A9" s="12" t="s">
        <v>29</v>
      </c>
      <c r="B9" s="13" t="n">
        <v>0.0016</v>
      </c>
      <c r="C9" s="14" t="s">
        <v>30</v>
      </c>
      <c r="D9" s="15" t="s">
        <v>31</v>
      </c>
    </row>
    <row r="11" customFormat="false" ht="15" hidden="false" customHeight="true" outlineLevel="0" collapsed="false">
      <c r="A11" s="11" t="s">
        <v>32</v>
      </c>
    </row>
    <row r="12" customFormat="false" ht="15" hidden="false" customHeight="true" outlineLevel="0" collapsed="false">
      <c r="A12" s="12" t="s">
        <v>33</v>
      </c>
      <c r="B12" s="18" t="n">
        <v>0.693</v>
      </c>
      <c r="C12" s="14" t="s">
        <v>34</v>
      </c>
      <c r="D12" s="15" t="s">
        <v>35</v>
      </c>
    </row>
    <row r="13" customFormat="false" ht="15" hidden="false" customHeight="true" outlineLevel="0" collapsed="false">
      <c r="A13" s="12" t="s">
        <v>36</v>
      </c>
      <c r="B13" s="18" t="n">
        <v>0.52</v>
      </c>
      <c r="C13" s="14" t="s">
        <v>37</v>
      </c>
      <c r="D13" s="15" t="s">
        <v>38</v>
      </c>
    </row>
    <row r="14" customFormat="false" ht="15" hidden="false" customHeight="true" outlineLevel="0" collapsed="false">
      <c r="A14" s="12" t="s">
        <v>39</v>
      </c>
      <c r="B14" s="19" t="n">
        <v>0.067787</v>
      </c>
      <c r="C14" s="14" t="s">
        <v>40</v>
      </c>
      <c r="D14" s="15" t="s">
        <v>41</v>
      </c>
    </row>
    <row r="15" customFormat="false" ht="15" hidden="false" customHeight="true" outlineLevel="0" collapsed="false">
      <c r="A15" s="12" t="s">
        <v>42</v>
      </c>
      <c r="B15" s="19" t="n">
        <v>0.127454</v>
      </c>
      <c r="C15" s="14" t="s">
        <v>43</v>
      </c>
      <c r="D15" s="15" t="s">
        <v>44</v>
      </c>
    </row>
    <row r="16" customFormat="false" ht="15" hidden="false" customHeight="true" outlineLevel="0" collapsed="false">
      <c r="A16" s="12" t="s">
        <v>45</v>
      </c>
      <c r="B16" s="19" t="n">
        <v>0.08</v>
      </c>
      <c r="C16" s="14" t="s">
        <v>46</v>
      </c>
      <c r="D16" s="15" t="s">
        <v>47</v>
      </c>
    </row>
    <row r="17" customFormat="false" ht="15" hidden="false" customHeight="true" outlineLevel="0" collapsed="false">
      <c r="A17" s="12" t="s">
        <v>48</v>
      </c>
      <c r="B17" s="18" t="n">
        <v>9</v>
      </c>
      <c r="C17" s="14" t="s">
        <v>49</v>
      </c>
      <c r="D17" s="15" t="s">
        <v>50</v>
      </c>
    </row>
    <row r="18" customFormat="false" ht="15" hidden="false" customHeight="true" outlineLevel="0" collapsed="false">
      <c r="A18" s="12" t="s">
        <v>51</v>
      </c>
      <c r="B18" s="19" t="n">
        <v>0.15</v>
      </c>
      <c r="C18" s="14" t="s">
        <v>52</v>
      </c>
      <c r="D18" s="15" t="s">
        <v>53</v>
      </c>
    </row>
    <row r="20" customFormat="false" ht="15" hidden="false" customHeight="true" outlineLevel="0" collapsed="false">
      <c r="A20" s="11" t="s">
        <v>54</v>
      </c>
    </row>
    <row r="21" customFormat="false" ht="15" hidden="false" customHeight="true" outlineLevel="0" collapsed="false">
      <c r="A21" s="12" t="s">
        <v>55</v>
      </c>
      <c r="B21" s="18" t="n">
        <v>0.417</v>
      </c>
      <c r="C21" s="14" t="s">
        <v>56</v>
      </c>
      <c r="D21" s="15" t="s">
        <v>57</v>
      </c>
    </row>
    <row r="22" customFormat="false" ht="15" hidden="false" customHeight="true" outlineLevel="0" collapsed="false">
      <c r="A22" s="12" t="s">
        <v>58</v>
      </c>
      <c r="B22" s="18" t="n">
        <v>0.841</v>
      </c>
      <c r="C22" s="14" t="s">
        <v>59</v>
      </c>
      <c r="D22" s="15" t="s">
        <v>60</v>
      </c>
    </row>
    <row r="23" customFormat="false" ht="15" hidden="false" customHeight="true" outlineLevel="0" collapsed="false">
      <c r="A23" s="12" t="s">
        <v>61</v>
      </c>
      <c r="B23" s="20" t="n">
        <v>980</v>
      </c>
      <c r="C23" s="14" t="s">
        <v>62</v>
      </c>
      <c r="D23" s="15" t="s">
        <v>63</v>
      </c>
    </row>
    <row r="24" customFormat="false" ht="15" hidden="false" customHeight="true" outlineLevel="0" collapsed="false">
      <c r="A24" s="12" t="s">
        <v>64</v>
      </c>
      <c r="B24" s="20" t="n">
        <v>164</v>
      </c>
      <c r="C24" s="14" t="s">
        <v>65</v>
      </c>
      <c r="D24" s="15" t="s">
        <v>63</v>
      </c>
    </row>
    <row r="25" customFormat="false" ht="15" hidden="false" customHeight="true" outlineLevel="0" collapsed="false">
      <c r="A25" s="12" t="s">
        <v>66</v>
      </c>
      <c r="B25" s="20" t="n">
        <v>489</v>
      </c>
      <c r="C25" s="14" t="s">
        <v>67</v>
      </c>
      <c r="D25" s="15" t="s">
        <v>68</v>
      </c>
    </row>
    <row r="26" customFormat="false" ht="15" hidden="false" customHeight="true" outlineLevel="0" collapsed="false">
      <c r="A26" s="12" t="s">
        <v>69</v>
      </c>
      <c r="B26" s="20" t="n">
        <v>25</v>
      </c>
      <c r="C26" s="14" t="s">
        <v>70</v>
      </c>
      <c r="D26" s="15" t="s">
        <v>71</v>
      </c>
    </row>
    <row r="27" customFormat="false" ht="15" hidden="false" customHeight="true" outlineLevel="0" collapsed="false">
      <c r="A27" s="12" t="s">
        <v>72</v>
      </c>
      <c r="B27" s="16" t="n">
        <v>8</v>
      </c>
      <c r="C27" s="14" t="s">
        <v>73</v>
      </c>
      <c r="D27" s="15" t="s">
        <v>74</v>
      </c>
    </row>
    <row r="28" customFormat="false" ht="15" hidden="false" customHeight="true" outlineLevel="0" collapsed="false">
      <c r="A28" s="12" t="s">
        <v>75</v>
      </c>
      <c r="B28" s="16" t="n">
        <v>4</v>
      </c>
      <c r="C28" s="14" t="s">
        <v>76</v>
      </c>
      <c r="D28" s="15" t="s">
        <v>77</v>
      </c>
    </row>
    <row r="29" customFormat="false" ht="15" hidden="false" customHeight="true" outlineLevel="0" collapsed="false">
      <c r="A29" s="12" t="s">
        <v>78</v>
      </c>
      <c r="B29" s="16" t="n">
        <v>2</v>
      </c>
      <c r="C29" s="14" t="s">
        <v>79</v>
      </c>
      <c r="D29" s="15" t="s">
        <v>80</v>
      </c>
    </row>
    <row r="30" customFormat="false" ht="15" hidden="false" customHeight="true" outlineLevel="0" collapsed="false">
      <c r="A30" s="1" t="s">
        <v>81</v>
      </c>
      <c r="B30" s="21" t="n">
        <v>4</v>
      </c>
      <c r="C30" s="1" t="s">
        <v>82</v>
      </c>
      <c r="D30" s="1" t="s">
        <v>83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22" t="s">
        <v>84</v>
      </c>
    </row>
    <row r="3" customFormat="false" ht="15" hidden="false" customHeight="true" outlineLevel="0" collapsed="false">
      <c r="A3" s="23" t="s">
        <v>85</v>
      </c>
    </row>
    <row r="4" customFormat="false" ht="15" hidden="false" customHeight="true" outlineLevel="0" collapsed="false">
      <c r="A4" s="23" t="s">
        <v>86</v>
      </c>
    </row>
    <row r="5" customFormat="false" ht="15" hidden="false" customHeight="true" outlineLevel="0" collapsed="false">
      <c r="A5" s="23" t="s">
        <v>87</v>
      </c>
    </row>
    <row r="6" customFormat="false" ht="15" hidden="false" customHeight="true" outlineLevel="0" collapsed="false">
      <c r="A6" s="23"/>
    </row>
    <row r="7" customFormat="false" ht="15" hidden="false" customHeight="true" outlineLevel="0" collapsed="false">
      <c r="A7" s="23" t="s">
        <v>88</v>
      </c>
    </row>
    <row r="8" customFormat="false" ht="15" hidden="false" customHeight="true" outlineLevel="0" collapsed="false">
      <c r="A8" s="23" t="s">
        <v>89</v>
      </c>
    </row>
    <row r="9" customFormat="false" ht="15" hidden="false" customHeight="true" outlineLevel="0" collapsed="false">
      <c r="A9" s="23" t="s">
        <v>90</v>
      </c>
    </row>
    <row r="10" customFormat="false" ht="15" hidden="false" customHeight="true" outlineLevel="0" collapsed="false">
      <c r="A10" s="23" t="s">
        <v>91</v>
      </c>
    </row>
    <row r="11" customFormat="false" ht="15" hidden="false" customHeight="true" outlineLevel="0" collapsed="false">
      <c r="A11" s="23" t="s">
        <v>92</v>
      </c>
    </row>
    <row r="12" customFormat="false" ht="15" hidden="false" customHeight="true" outlineLevel="0" collapsed="false">
      <c r="A12" s="23"/>
    </row>
    <row r="13" customFormat="false" ht="15" hidden="false" customHeight="true" outlineLevel="0" collapsed="false">
      <c r="A13" s="23" t="s">
        <v>93</v>
      </c>
    </row>
    <row r="14" customFormat="false" ht="15" hidden="false" customHeight="true" outlineLevel="0" collapsed="false">
      <c r="A14" s="23" t="s">
        <v>94</v>
      </c>
    </row>
    <row r="15" customFormat="false" ht="15" hidden="false" customHeight="true" outlineLevel="0" collapsed="false">
      <c r="A15" s="23" t="s">
        <v>95</v>
      </c>
    </row>
    <row r="16" customFormat="false" ht="15" hidden="false" customHeight="true" outlineLevel="0" collapsed="false">
      <c r="A16" s="23" t="s">
        <v>96</v>
      </c>
    </row>
    <row r="17" customFormat="false" ht="15" hidden="false" customHeight="true" outlineLevel="0" collapsed="false">
      <c r="A17" s="23" t="s">
        <v>97</v>
      </c>
    </row>
    <row r="18" customFormat="false" ht="15" hidden="false" customHeight="true" outlineLevel="0" collapsed="false">
      <c r="A18" s="23"/>
    </row>
    <row r="19" customFormat="false" ht="15" hidden="false" customHeight="true" outlineLevel="0" collapsed="false">
      <c r="A19" s="23" t="s">
        <v>98</v>
      </c>
    </row>
    <row r="20" customFormat="false" ht="15" hidden="false" customHeight="true" outlineLevel="0" collapsed="false">
      <c r="A20" s="23" t="s">
        <v>99</v>
      </c>
    </row>
    <row r="21" customFormat="false" ht="15" hidden="false" customHeight="true" outlineLevel="0" collapsed="false">
      <c r="A21" s="1" t="s">
        <v>100</v>
      </c>
    </row>
    <row r="22" customFormat="false" ht="15" hidden="false" customHeight="true" outlineLevel="0" collapsed="false">
      <c r="A22" s="1" t="s">
        <v>101</v>
      </c>
    </row>
    <row r="23" customFormat="false" ht="15" hidden="false" customHeight="true" outlineLevel="0" collapsed="false">
      <c r="A23" s="1" t="s">
        <v>102</v>
      </c>
    </row>
    <row r="24" customFormat="false" ht="15" hidden="false" customHeight="true" outlineLevel="0" collapsed="false">
      <c r="A24" s="1" t="s">
        <v>103</v>
      </c>
    </row>
    <row r="26" customFormat="false" ht="15" hidden="false" customHeight="true" outlineLevel="0" collapsed="false">
      <c r="A26" s="1" t="s">
        <v>104</v>
      </c>
    </row>
    <row r="27" customFormat="false" ht="15" hidden="false" customHeight="true" outlineLevel="0" collapsed="false">
      <c r="A27" s="1" t="s">
        <v>105</v>
      </c>
    </row>
    <row r="28" customFormat="false" ht="15" hidden="false" customHeight="true" outlineLevel="0" collapsed="false">
      <c r="A28" s="1" t="s">
        <v>106</v>
      </c>
    </row>
    <row r="29" customFormat="false" ht="15" hidden="false" customHeight="true" outlineLevel="0" collapsed="false">
      <c r="A29" s="1" t="s">
        <v>107</v>
      </c>
    </row>
    <row r="30" customFormat="false" ht="15" hidden="false" customHeight="true" outlineLevel="0" collapsed="false">
      <c r="A30" s="1" t="s">
        <v>108</v>
      </c>
    </row>
    <row r="31" customFormat="false" ht="15" hidden="false" customHeight="true" outlineLevel="0" collapsed="false">
      <c r="A31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1" width="12"/>
  </cols>
  <sheetData>
    <row r="1" customFormat="false" ht="15" hidden="false" customHeight="true" outlineLevel="0" collapsed="false">
      <c r="A1" s="24" t="s">
        <v>110</v>
      </c>
      <c r="B1" s="24" t="s">
        <v>111</v>
      </c>
      <c r="C1" s="24" t="s">
        <v>112</v>
      </c>
      <c r="D1" s="24" t="s">
        <v>113</v>
      </c>
      <c r="E1" s="24" t="s">
        <v>114</v>
      </c>
      <c r="F1" s="24" t="s">
        <v>115</v>
      </c>
      <c r="G1" s="24" t="s">
        <v>116</v>
      </c>
      <c r="H1" s="24" t="s">
        <v>117</v>
      </c>
      <c r="I1" s="24" t="s">
        <v>118</v>
      </c>
      <c r="J1" s="24" t="s">
        <v>119</v>
      </c>
      <c r="K1" s="24" t="s">
        <v>120</v>
      </c>
      <c r="L1" s="24" t="s">
        <v>121</v>
      </c>
      <c r="M1" s="24" t="s">
        <v>122</v>
      </c>
      <c r="N1" s="24" t="s">
        <v>123</v>
      </c>
      <c r="O1" s="24" t="s">
        <v>124</v>
      </c>
      <c r="P1" s="24" t="s">
        <v>125</v>
      </c>
      <c r="Q1" s="24" t="s">
        <v>126</v>
      </c>
      <c r="R1" s="24" t="s">
        <v>127</v>
      </c>
      <c r="S1" s="24" t="s">
        <v>128</v>
      </c>
      <c r="T1" s="24" t="s">
        <v>129</v>
      </c>
      <c r="U1" s="24" t="s">
        <v>130</v>
      </c>
      <c r="V1" s="24" t="s">
        <v>131</v>
      </c>
      <c r="W1" s="24" t="s">
        <v>132</v>
      </c>
    </row>
    <row r="2" customFormat="false" ht="15" hidden="false" customHeight="true" outlineLevel="0" collapsed="false">
      <c r="A2" s="25" t="n">
        <v>0</v>
      </c>
      <c r="B2" s="26" t="n">
        <v>0</v>
      </c>
      <c r="C2" s="27" t="n">
        <v>1</v>
      </c>
      <c r="D2" s="27" t="n">
        <v>0</v>
      </c>
      <c r="E2" s="27" t="n">
        <f aca="false">C2+D2</f>
        <v>1</v>
      </c>
      <c r="F2" s="27" t="n">
        <v>0</v>
      </c>
      <c r="G2" s="27" t="n">
        <v>0</v>
      </c>
      <c r="H2" s="27" t="n">
        <f aca="false">F2+G2</f>
        <v>0</v>
      </c>
      <c r="I2" s="27" t="n">
        <v>0</v>
      </c>
      <c r="J2" s="27" t="n">
        <f aca="false">E2+H2+I2</f>
        <v>1</v>
      </c>
      <c r="K2" s="27" t="n">
        <v>1</v>
      </c>
      <c r="L2" s="27" t="n">
        <v>1</v>
      </c>
      <c r="M2" s="27" t="n">
        <f aca="false">pRelEsk</f>
        <v>0.067787</v>
      </c>
      <c r="N2" s="28" t="n">
        <f aca="false">Sess0</f>
        <v>8</v>
      </c>
      <c r="O2" s="29" t="n">
        <f aca="false">N2*(PriceSession+AdminSession)</f>
        <v>4112</v>
      </c>
      <c r="P2" s="29" t="n">
        <f aca="false">(1-I2)*cOral</f>
        <v>4</v>
      </c>
      <c r="Q2" s="29" t="n">
        <f aca="false">E2*cDep+H2*cResp</f>
        <v>980</v>
      </c>
      <c r="R2" s="29" t="n">
        <f aca="false">O2+P2+Q2</f>
        <v>5096</v>
      </c>
      <c r="S2" s="26" t="n">
        <f aca="false">(E2*uDep+H2*uResp)*CycleLength</f>
        <v>0.0320769230769231</v>
      </c>
      <c r="T2" s="26" t="n">
        <f aca="false">(S2+S3)/2</f>
        <v>0.0433747864735569</v>
      </c>
      <c r="U2" s="26" t="n">
        <f aca="false">1/(1+DiscRate)^(B2+CycleLength/2)</f>
        <v>0.99867774315612</v>
      </c>
      <c r="V2" s="29" t="n">
        <f aca="false">R2*U2</f>
        <v>5089.26177912359</v>
      </c>
      <c r="W2" s="26" t="n">
        <f aca="false">T2*U2</f>
        <v>0.0433174338652904</v>
      </c>
    </row>
    <row r="3" customFormat="false" ht="15" hidden="false" customHeight="true" outlineLevel="0" collapsed="false">
      <c r="A3" s="25" t="n">
        <f aca="false">A2+1</f>
        <v>1</v>
      </c>
      <c r="B3" s="26" t="n">
        <f aca="false">A3*CycleLength</f>
        <v>0.0769230769230769</v>
      </c>
      <c r="C3" s="27" t="n">
        <f aca="false">MAX(0,1-I3-F3-G3-D3)</f>
        <v>0.306962187453479</v>
      </c>
      <c r="D3" s="27" t="n">
        <f aca="false">IF(A3=1, 0, F2*M3*(1-(1-(1-qx)^(1/13)))+D2*(1-pReResp)*(1-(1-(1-qx)^(1/13))))</f>
        <v>0</v>
      </c>
      <c r="E3" s="27" t="n">
        <f aca="false">C3+D3</f>
        <v>0.306962187453479</v>
      </c>
      <c r="F3" s="27" t="n">
        <f aca="false">IF(A3=1, C2*pRespEsk*(1-(1-(1-qx)^(1/13))), MAX(0, F2*(1-M3)*(1-(1-(1-qx)^(1/13)))+D2*pReResp*(1-(1-(1-qx)^(1/13)))))</f>
        <v>0.692914644642543</v>
      </c>
      <c r="G3" s="27" t="n">
        <f aca="false">IF(A3=1, 0, MAX(0, G2*(1-pRelComp)*(1-(1-(1-qx)^(1/13)))+C2*pReResp*(1-(1-(1-qx)^(1/13)))))</f>
        <v>0</v>
      </c>
      <c r="H3" s="27" t="n">
        <f aca="false">F3+G3</f>
        <v>0.692914644642543</v>
      </c>
      <c r="I3" s="27" t="n">
        <f aca="false">I2+(1-I2)*(1-(1-qx)^(1/13))</f>
        <v>0.000123167903978039</v>
      </c>
      <c r="J3" s="27" t="n">
        <f aca="false">E3+H3+I3</f>
        <v>1</v>
      </c>
      <c r="K3" s="27" t="n">
        <f aca="false">F3</f>
        <v>0.692914644642543</v>
      </c>
      <c r="L3" s="27" t="n">
        <f aca="false">IF(A3&lt;TreatCycles,1,MAX(0,L2*(1-Waning)))</f>
        <v>1</v>
      </c>
      <c r="M3" s="27" t="n">
        <f aca="false">pRelEsk+(1-L3)*(pRelComp-pRelEsk)</f>
        <v>0.067787</v>
      </c>
      <c r="N3" s="25" t="n">
        <f aca="false">IF(A3&gt;=TreatCycles,0,IF(A3=1,Sess1,Sess2)*K3)</f>
        <v>2.77165857857017</v>
      </c>
      <c r="O3" s="29" t="n">
        <f aca="false">N3*(PriceSession+AdminSession)</f>
        <v>1424.63250938507</v>
      </c>
      <c r="P3" s="29" t="n">
        <f aca="false">(1-I3)*cOral</f>
        <v>3.99950732838409</v>
      </c>
      <c r="Q3" s="29" t="n">
        <f aca="false">E3*cDep+H3*cResp</f>
        <v>414.460945425786</v>
      </c>
      <c r="R3" s="29" t="n">
        <f aca="false">O3+P3+Q3</f>
        <v>1843.09296213924</v>
      </c>
      <c r="S3" s="26" t="n">
        <f aca="false">(E3*uDep+H3*uResp)*CycleLength</f>
        <v>0.0546726498701907</v>
      </c>
      <c r="T3" s="26" t="n">
        <f aca="false">(S3+S4)/2</f>
        <v>0.0543038133501446</v>
      </c>
      <c r="U3" s="26" t="n">
        <f aca="false">1/(1+DiscRate)^(B3+CycleLength/2)</f>
        <v>0.996038472246059</v>
      </c>
      <c r="V3" s="29" t="n">
        <f aca="false">R3*U3</f>
        <v>1835.79149821663</v>
      </c>
      <c r="W3" s="26" t="n">
        <f aca="false">T3*U3</f>
        <v>0.0540886872864131</v>
      </c>
    </row>
    <row r="4" customFormat="false" ht="15" hidden="false" customHeight="true" outlineLevel="0" collapsed="false">
      <c r="A4" s="25" t="n">
        <f aca="false">A3+1</f>
        <v>2</v>
      </c>
      <c r="B4" s="26" t="n">
        <f aca="false">A4*CycleLength</f>
        <v>0.153846153846154</v>
      </c>
      <c r="C4" s="27" t="n">
        <f aca="false">MAX(0,1-I4-F4-G4-D4)</f>
        <v>0.28237042919911</v>
      </c>
      <c r="D4" s="27" t="n">
        <f aca="false">IF(A4=1, 0, F3*M4*(1-(1-(1-qx)^(1/13)))+D3*(1-pReResp)*(1-(1-(1-qx)^(1/13))))</f>
        <v>0.0469648197454156</v>
      </c>
      <c r="E4" s="27" t="n">
        <f aca="false">C4+D4</f>
        <v>0.329335248944525</v>
      </c>
      <c r="F4" s="27" t="n">
        <f aca="false">IF(A4=1, C3*pRespEsk*(1-(1-(1-qx)^(1/13))), MAX(0, F3*(1-M4)*(1-(1-(1-qx)^(1/13)))+D3*pReResp*(1-(1-(1-qx)^(1/13)))))</f>
        <v>0.645864480052711</v>
      </c>
      <c r="G4" s="27" t="n">
        <f aca="false">IF(A4=1, 0, MAX(0, G3*(1-pRelComp)*(1-(1-(1-qx)^(1/13)))+C3*pReResp*(1-(1-(1-qx)^(1/13)))))</f>
        <v>0.02455395036514</v>
      </c>
      <c r="H4" s="27" t="n">
        <f aca="false">F4+G4</f>
        <v>0.670418430417851</v>
      </c>
      <c r="I4" s="27" t="n">
        <f aca="false">I3+(1-I3)*(1-(1-qx)^(1/13))</f>
        <v>0.000246320637623507</v>
      </c>
      <c r="J4" s="27" t="n">
        <f aca="false">E4+H4+I4</f>
        <v>1</v>
      </c>
      <c r="K4" s="27" t="n">
        <f aca="false">F4</f>
        <v>0.645864480052711</v>
      </c>
      <c r="L4" s="27" t="n">
        <f aca="false">IF(A4&lt;TreatCycles,1,MAX(0,L3*(1-Waning)))</f>
        <v>1</v>
      </c>
      <c r="M4" s="27" t="n">
        <f aca="false">pRelEsk+(1-L4)*(pRelComp-pRelEsk)</f>
        <v>0.067787</v>
      </c>
      <c r="N4" s="25" t="n">
        <f aca="false">IF(A4&gt;=TreatCycles,0,IF(A4=1,Sess1,Sess2)*K4)</f>
        <v>1.29172896010542</v>
      </c>
      <c r="O4" s="29" t="n">
        <f aca="false">N4*(PriceSession+AdminSession)</f>
        <v>663.948685494187</v>
      </c>
      <c r="P4" s="29" t="n">
        <f aca="false">(1-I4)*cOral</f>
        <v>3.99901471744951</v>
      </c>
      <c r="Q4" s="29" t="n">
        <f aca="false">E4*cDep+H4*cResp</f>
        <v>432.697166554162</v>
      </c>
      <c r="R4" s="29" t="n">
        <f aca="false">O4+P4+Q4</f>
        <v>1100.6448667658</v>
      </c>
      <c r="S4" s="26" t="n">
        <f aca="false">(E4*uDep+H4*uResp)*CycleLength</f>
        <v>0.0539349768300984</v>
      </c>
      <c r="T4" s="26" t="n">
        <f aca="false">(S4+S5)/2</f>
        <v>0.0535963469366118</v>
      </c>
      <c r="U4" s="26" t="n">
        <f aca="false">1/(1+DiscRate)^(B4+CycleLength/2)</f>
        <v>0.993406176309641</v>
      </c>
      <c r="V4" s="29" t="n">
        <f aca="false">R4*U4</f>
        <v>1093.38740856865</v>
      </c>
      <c r="W4" s="26" t="n">
        <f aca="false">T4*U4</f>
        <v>0.0532429420744644</v>
      </c>
    </row>
    <row r="5" customFormat="false" ht="15" hidden="false" customHeight="true" outlineLevel="0" collapsed="false">
      <c r="A5" s="25" t="n">
        <f aca="false">A4+1</f>
        <v>3</v>
      </c>
      <c r="B5" s="26" t="n">
        <f aca="false">A5*CycleLength</f>
        <v>0.230769230769231</v>
      </c>
      <c r="C5" s="27" t="n">
        <f aca="false">MAX(0,1-I5-F5-G5-D5)</f>
        <v>0.262877911943167</v>
      </c>
      <c r="D5" s="27" t="n">
        <f aca="false">IF(A5=1, 0, F4*M5*(1-(1-(1-qx)^(1/13)))+D4*(1-pReResp)*(1-(1-(1-qx)^(1/13))))</f>
        <v>0.0869781354408316</v>
      </c>
      <c r="E5" s="27" t="n">
        <f aca="false">C5+D5</f>
        <v>0.349856047383998</v>
      </c>
      <c r="F5" s="27" t="n">
        <f aca="false">IF(A5=1, C4*pRespEsk*(1-(1-(1-qx)^(1/13))), MAX(0, F4*(1-M5)*(1-(1-(1-qx)^(1/13)))+D4*pReResp*(1-(1-(1-qx)^(1/13)))))</f>
        <v>0.605765830024625</v>
      </c>
      <c r="G5" s="27" t="n">
        <f aca="false">IF(A5=1, 0, MAX(0, G4*(1-pRelComp)*(1-(1-(1-qx)^(1/13)))+C4*pReResp*(1-(1-(1-qx)^(1/13)))))</f>
        <v>0.0440086643885723</v>
      </c>
      <c r="H5" s="27" t="n">
        <f aca="false">F5+G5</f>
        <v>0.649774494413197</v>
      </c>
      <c r="I5" s="27" t="n">
        <f aca="false">I4+(1-I4)*(1-(1-qx)^(1/13))</f>
        <v>0.000369458202804903</v>
      </c>
      <c r="J5" s="27" t="n">
        <f aca="false">E5+H5+I5</f>
        <v>1</v>
      </c>
      <c r="K5" s="27" t="n">
        <f aca="false">F5</f>
        <v>0.605765830024625</v>
      </c>
      <c r="L5" s="27" t="n">
        <f aca="false">IF(A5&lt;TreatCycles,1,MAX(0,L4*(1-Waning)))</f>
        <v>1</v>
      </c>
      <c r="M5" s="27" t="n">
        <f aca="false">pRelEsk+(1-L5)*(pRelComp-pRelEsk)</f>
        <v>0.067787</v>
      </c>
      <c r="N5" s="25" t="n">
        <f aca="false">IF(A5&gt;=TreatCycles,0,IF(A5=1,Sess1,Sess2)*K5)</f>
        <v>1.21153166004925</v>
      </c>
      <c r="O5" s="29" t="n">
        <f aca="false">N5*(PriceSession+AdminSession)</f>
        <v>622.727273265314</v>
      </c>
      <c r="P5" s="29" t="n">
        <f aca="false">(1-I5)*cOral</f>
        <v>3.99852216718878</v>
      </c>
      <c r="Q5" s="29" t="n">
        <f aca="false">E5*cDep+H5*cResp</f>
        <v>449.421943520083</v>
      </c>
      <c r="R5" s="29" t="n">
        <f aca="false">O5+P5+Q5</f>
        <v>1076.14773895259</v>
      </c>
      <c r="S5" s="26" t="n">
        <f aca="false">(E5*uDep+H5*uResp)*CycleLength</f>
        <v>0.0532577170431251</v>
      </c>
      <c r="T5" s="26" t="n">
        <f aca="false">(S5+S6)/2</f>
        <v>0.0529497876188717</v>
      </c>
      <c r="U5" s="26" t="n">
        <f aca="false">1/(1+DiscRate)^(B5+CycleLength/2)</f>
        <v>0.990780836913648</v>
      </c>
      <c r="V5" s="29" t="n">
        <f aca="false">R5*U5</f>
        <v>1066.22655744217</v>
      </c>
      <c r="W5" s="26" t="n">
        <f aca="false">T5*U5</f>
        <v>0.0524616348914257</v>
      </c>
    </row>
    <row r="6" customFormat="false" ht="15" hidden="false" customHeight="true" outlineLevel="0" collapsed="false">
      <c r="A6" s="25" t="n">
        <f aca="false">A5+1</f>
        <v>4</v>
      </c>
      <c r="B6" s="26" t="n">
        <f aca="false">A6*CycleLength</f>
        <v>0.307692307692308</v>
      </c>
      <c r="C6" s="27" t="n">
        <f aca="false">MAX(0,1-I6-F6-G6-D6)</f>
        <v>0.247426280568327</v>
      </c>
      <c r="D6" s="27" t="n">
        <f aca="false">IF(A6=1, 0, F5*M6*(1-(1-(1-qx)^(1/13)))+D5*(1-pReResp)*(1-(1-(1-qx)^(1/13))))</f>
        <v>0.121068019394388</v>
      </c>
      <c r="E6" s="27" t="n">
        <f aca="false">C6+D6</f>
        <v>0.368494299962715</v>
      </c>
      <c r="F6" s="27" t="n">
        <f aca="false">IF(A6=1, C5*pRespEsk*(1-(1-(1-qx)^(1/13))), MAX(0, F5*(1-M6)*(1-(1-(1-qx)^(1/13)))+D5*pReResp*(1-(1-(1-qx)^(1/13)))))</f>
        <v>0.571590622248848</v>
      </c>
      <c r="G6" s="27" t="n">
        <f aca="false">IF(A6=1, 0, MAX(0, G5*(1-pRelComp)*(1-(1-(1-qx)^(1/13)))+C5*pReResp*(1-(1-(1-qx)^(1/13)))))</f>
        <v>0.0594224971870468</v>
      </c>
      <c r="H6" s="27" t="n">
        <f aca="false">F6+G6</f>
        <v>0.631013119435895</v>
      </c>
      <c r="I6" s="27" t="n">
        <f aca="false">I5+(1-I5)*(1-(1-qx)^(1/13))</f>
        <v>0.000492580601390495</v>
      </c>
      <c r="J6" s="27" t="n">
        <f aca="false">E6+H6+I6</f>
        <v>1</v>
      </c>
      <c r="K6" s="27" t="n">
        <f aca="false">F6</f>
        <v>0.571590622248848</v>
      </c>
      <c r="L6" s="27" t="n">
        <f aca="false">IF(A6&lt;TreatCycles,1,MAX(0,L5*(1-Waning)))</f>
        <v>1</v>
      </c>
      <c r="M6" s="27" t="n">
        <f aca="false">pRelEsk+(1-L6)*(pRelComp-pRelEsk)</f>
        <v>0.067787</v>
      </c>
      <c r="N6" s="25" t="n">
        <f aca="false">IF(A6&gt;=TreatCycles,0,IF(A6=1,Sess1,Sess2)*K6)</f>
        <v>1.1431812444977</v>
      </c>
      <c r="O6" s="29" t="n">
        <f aca="false">N6*(PriceSession+AdminSession)</f>
        <v>587.595159671816</v>
      </c>
      <c r="P6" s="29" t="n">
        <f aca="false">(1-I6)*cOral</f>
        <v>3.99802967759444</v>
      </c>
      <c r="Q6" s="29" t="n">
        <f aca="false">E6*cDep+H6*cResp</f>
        <v>464.610565550947</v>
      </c>
      <c r="R6" s="29" t="n">
        <f aca="false">O6+P6+Q6</f>
        <v>1056.20375490036</v>
      </c>
      <c r="S6" s="26" t="n">
        <f aca="false">(E6*uDep+H6*uResp)*CycleLength</f>
        <v>0.0526418581946184</v>
      </c>
      <c r="T6" s="26" t="n">
        <f aca="false">(S6+S7)/2</f>
        <v>0.0523640203613228</v>
      </c>
      <c r="U6" s="26" t="n">
        <f aca="false">1/(1+DiscRate)^(B6+CycleLength/2)</f>
        <v>0.988162435673576</v>
      </c>
      <c r="V6" s="29" t="n">
        <f aca="false">R6*U6</f>
        <v>1043.70087500991</v>
      </c>
      <c r="W6" s="26" t="n">
        <f aca="false">T6*U6</f>
        <v>0.0517441579019054</v>
      </c>
    </row>
    <row r="7" customFormat="false" ht="15" hidden="false" customHeight="true" outlineLevel="0" collapsed="false">
      <c r="A7" s="25" t="n">
        <f aca="false">A6+1</f>
        <v>5</v>
      </c>
      <c r="B7" s="26" t="n">
        <f aca="false">A7*CycleLength</f>
        <v>0.384615384615384</v>
      </c>
      <c r="C7" s="27" t="n">
        <f aca="false">MAX(0,1-I7-F7-G7-D7)</f>
        <v>0.235176843272338</v>
      </c>
      <c r="D7" s="27" t="n">
        <f aca="false">IF(A7=1, 0, F6*M7*(1-(1-(1-qx)^(1/13)))+D6*(1-pReResp)*(1-(1-(1-qx)^(1/13))))</f>
        <v>0.150110500280029</v>
      </c>
      <c r="E7" s="27" t="n">
        <f aca="false">C7+D7</f>
        <v>0.385287343552366</v>
      </c>
      <c r="F7" s="27" t="n">
        <f aca="false">IF(A7=1, C6*pRespEsk*(1-(1-(1-qx)^(1/13))), MAX(0, F6*(1-M7)*(1-(1-(1-qx)^(1/13)))+D6*pReResp*(1-(1-(1-qx)^(1/13)))))</f>
        <v>0.542462828050144</v>
      </c>
      <c r="G7" s="27" t="n">
        <f aca="false">IF(A7=1, 0, MAX(0, G6*(1-pRelComp)*(1-(1-(1-qx)^(1/13)))+C6*pReResp*(1-(1-(1-qx)^(1/13)))))</f>
        <v>0.0716341405622411</v>
      </c>
      <c r="H7" s="27" t="n">
        <f aca="false">F7+G7</f>
        <v>0.614096968612385</v>
      </c>
      <c r="I7" s="27" t="n">
        <f aca="false">I6+(1-I6)*(1-(1-qx)^(1/13))</f>
        <v>0.00061568783524832</v>
      </c>
      <c r="J7" s="27" t="n">
        <f aca="false">E7+H7+I7</f>
        <v>1</v>
      </c>
      <c r="K7" s="27" t="n">
        <f aca="false">F7</f>
        <v>0.542462828050144</v>
      </c>
      <c r="L7" s="27" t="n">
        <f aca="false">IF(A7&lt;TreatCycles,1,MAX(0,L6*(1-Waning)))</f>
        <v>1</v>
      </c>
      <c r="M7" s="27" t="n">
        <f aca="false">pRelEsk+(1-L7)*(pRelComp-pRelEsk)</f>
        <v>0.067787</v>
      </c>
      <c r="N7" s="25" t="n">
        <f aca="false">IF(A7&gt;=TreatCycles,0,IF(A7=1,Sess1,Sess2)*K7)</f>
        <v>1.08492565610029</v>
      </c>
      <c r="O7" s="29" t="n">
        <f aca="false">N7*(PriceSession+AdminSession)</f>
        <v>557.651787235548</v>
      </c>
      <c r="P7" s="29" t="n">
        <f aca="false">(1-I7)*cOral</f>
        <v>3.99753724865901</v>
      </c>
      <c r="Q7" s="29" t="n">
        <f aca="false">E7*cDep+H7*cResp</f>
        <v>478.29349953375</v>
      </c>
      <c r="R7" s="29" t="n">
        <f aca="false">O7+P7+Q7</f>
        <v>1039.94282401796</v>
      </c>
      <c r="S7" s="26" t="n">
        <f aca="false">(E7*uDep+H7*uResp)*CycleLength</f>
        <v>0.0520861825280271</v>
      </c>
      <c r="T7" s="26" t="n">
        <f aca="false">(S7+S8)/2</f>
        <v>0.0518371014829384</v>
      </c>
      <c r="U7" s="26" t="n">
        <f aca="false">1/(1+DiscRate)^(B7+CycleLength/2)</f>
        <v>0.985550954253507</v>
      </c>
      <c r="V7" s="29" t="n">
        <f aca="false">R7*U7</f>
        <v>1024.91664257998</v>
      </c>
      <c r="W7" s="26" t="n">
        <f aca="false">T7*U7</f>
        <v>0.0510881048322459</v>
      </c>
    </row>
    <row r="8" customFormat="false" ht="15" hidden="false" customHeight="true" outlineLevel="0" collapsed="false">
      <c r="A8" s="25" t="n">
        <f aca="false">A7+1</f>
        <v>6</v>
      </c>
      <c r="B8" s="26" t="n">
        <f aca="false">A8*CycleLength</f>
        <v>0.461538461538461</v>
      </c>
      <c r="C8" s="27" t="n">
        <f aca="false">MAX(0,1-I8-F8-G8-D8)</f>
        <v>0.225464980091952</v>
      </c>
      <c r="D8" s="27" t="n">
        <f aca="false">IF(A8=1, 0, F7*M8*(1-(1-(1-qx)^(1/13)))+D7*(1-pReResp)*(1-(1-(1-qx)^(1/13))))</f>
        <v>0.174852049169369</v>
      </c>
      <c r="E8" s="27" t="n">
        <f aca="false">C8+D8</f>
        <v>0.400317029261321</v>
      </c>
      <c r="F8" s="27" t="n">
        <f aca="false">IF(A8=1, C7*pRespEsk*(1-(1-(1-qx)^(1/13))), MAX(0, F7*(1-M8)*(1-(1-(1-qx)^(1/13)))+D7*pReResp*(1-(1-(1-qx)^(1/13)))))</f>
        <v>0.517635976355603</v>
      </c>
      <c r="G8" s="27" t="n">
        <f aca="false">IF(A8=1, 0, MAX(0, G7*(1-pRelComp)*(1-(1-(1-qx)^(1/13)))+C7*pReResp*(1-(1-(1-qx)^(1/13)))))</f>
        <v>0.0813082144768303</v>
      </c>
      <c r="H8" s="27" t="n">
        <f aca="false">F8+G8</f>
        <v>0.598944190832433</v>
      </c>
      <c r="I8" s="27" t="n">
        <f aca="false">I7+(1-I7)*(1-(1-qx)^(1/13))</f>
        <v>0.000738779906246186</v>
      </c>
      <c r="J8" s="27" t="n">
        <f aca="false">E8+H8+I8</f>
        <v>1</v>
      </c>
      <c r="K8" s="27" t="n">
        <f aca="false">F8</f>
        <v>0.517635976355603</v>
      </c>
      <c r="L8" s="27" t="n">
        <f aca="false">IF(A8&lt;TreatCycles,1,MAX(0,L7*(1-Waning)))</f>
        <v>1</v>
      </c>
      <c r="M8" s="27" t="n">
        <f aca="false">pRelEsk+(1-L8)*(pRelComp-pRelEsk)</f>
        <v>0.067787</v>
      </c>
      <c r="N8" s="25" t="n">
        <f aca="false">IF(A8&gt;=TreatCycles,0,IF(A8=1,Sess1,Sess2)*K8)</f>
        <v>1.03527195271121</v>
      </c>
      <c r="O8" s="29" t="n">
        <f aca="false">N8*(PriceSession+AdminSession)</f>
        <v>532.12978369356</v>
      </c>
      <c r="P8" s="29" t="n">
        <f aca="false">(1-I8)*cOral</f>
        <v>3.99704488037502</v>
      </c>
      <c r="Q8" s="29" t="n">
        <f aca="false">E8*cDep+H8*cResp</f>
        <v>490.537535972613</v>
      </c>
      <c r="R8" s="29" t="n">
        <f aca="false">O8+P8+Q8</f>
        <v>1026.66436454655</v>
      </c>
      <c r="S8" s="26" t="n">
        <f aca="false">(E8*uDep+H8*uResp)*CycleLength</f>
        <v>0.0515880204378498</v>
      </c>
      <c r="T8" s="26" t="n">
        <f aca="false">(S8+S9)/2</f>
        <v>0.0513659121685867</v>
      </c>
      <c r="U8" s="26" t="n">
        <f aca="false">1/(1+DiscRate)^(B8+CycleLength/2)</f>
        <v>0.982946374365981</v>
      </c>
      <c r="V8" s="29" t="n">
        <f aca="false">R8*U8</f>
        <v>1009.15601482178</v>
      </c>
      <c r="W8" s="26" t="n">
        <f aca="false">T8*U8</f>
        <v>0.0504899371321137</v>
      </c>
    </row>
    <row r="9" customFormat="false" ht="15" hidden="false" customHeight="true" outlineLevel="0" collapsed="false">
      <c r="A9" s="25" t="n">
        <f aca="false">A8+1</f>
        <v>7</v>
      </c>
      <c r="B9" s="26" t="n">
        <f aca="false">A9*CycleLength</f>
        <v>0.538461538461538</v>
      </c>
      <c r="C9" s="27" t="n">
        <f aca="false">MAX(0,1-I9-F9-G9-D9)</f>
        <v>0.217764014011399</v>
      </c>
      <c r="D9" s="27" t="n">
        <f aca="false">IF(A9=1, 0, F8*M9*(1-(1-(1-qx)^(1/13)))+D8*(1-pReResp)*(1-(1-(1-qx)^(1/13))))</f>
        <v>0.195928740060124</v>
      </c>
      <c r="E9" s="27" t="n">
        <f aca="false">C9+D9</f>
        <v>0.413692754071523</v>
      </c>
      <c r="F9" s="27" t="n">
        <f aca="false">IF(A9=1, C8*pRespEsk*(1-(1-(1-qx)^(1/13))), MAX(0, F8*(1-M9)*(1-(1-(1-qx)^(1/13)))+D8*pReResp*(1-(1-(1-qx)^(1/13)))))</f>
        <v>0.496473993166214</v>
      </c>
      <c r="G9" s="27" t="n">
        <f aca="false">IF(A9=1, 0, MAX(0, G8*(1-pRelComp)*(1-(1-(1-qx)^(1/13)))+C8*pReResp*(1-(1-(1-qx)^(1/13)))))</f>
        <v>0.088971395946012</v>
      </c>
      <c r="H9" s="27" t="n">
        <f aca="false">F9+G9</f>
        <v>0.585445389112226</v>
      </c>
      <c r="I9" s="27" t="n">
        <f aca="false">I8+(1-I8)*(1-(1-qx)^(1/13))</f>
        <v>0.000861856816251671</v>
      </c>
      <c r="J9" s="27" t="n">
        <f aca="false">E9+H9+I9</f>
        <v>1</v>
      </c>
      <c r="K9" s="27" t="n">
        <f aca="false">F9</f>
        <v>0.496473993166214</v>
      </c>
      <c r="L9" s="27" t="n">
        <f aca="false">IF(A9&lt;TreatCycles,1,MAX(0,L8*(1-Waning)))</f>
        <v>1</v>
      </c>
      <c r="M9" s="27" t="n">
        <f aca="false">pRelEsk+(1-L9)*(pRelComp-pRelEsk)</f>
        <v>0.067787</v>
      </c>
      <c r="N9" s="25" t="n">
        <f aca="false">IF(A9&gt;=TreatCycles,0,IF(A9=1,Sess1,Sess2)*K9)</f>
        <v>0.992947986332427</v>
      </c>
      <c r="O9" s="29" t="n">
        <f aca="false">N9*(PriceSession+AdminSession)</f>
        <v>510.375264974868</v>
      </c>
      <c r="P9" s="29" t="n">
        <f aca="false">(1-I9)*cOral</f>
        <v>3.99655257273499</v>
      </c>
      <c r="Q9" s="29" t="n">
        <f aca="false">E9*cDep+H9*cResp</f>
        <v>501.431942804497</v>
      </c>
      <c r="R9" s="29" t="n">
        <f aca="false">O9+P9+Q9</f>
        <v>1015.8037603521</v>
      </c>
      <c r="S9" s="26" t="n">
        <f aca="false">(E9*uDep+H9*uResp)*CycleLength</f>
        <v>0.0511438038993236</v>
      </c>
      <c r="T9" s="26" t="n">
        <f aca="false">(S9+S10)/2</f>
        <v>0.050946635824612</v>
      </c>
      <c r="U9" s="26" t="n">
        <f aca="false">1/(1+DiscRate)^(B9+CycleLength/2)</f>
        <v>0.980348677771867</v>
      </c>
      <c r="V9" s="29" t="n">
        <f aca="false">R9*U9</f>
        <v>995.841873336871</v>
      </c>
      <c r="W9" s="26" t="n">
        <f aca="false">T9*U9</f>
        <v>0.0499454670675832</v>
      </c>
    </row>
    <row r="10" customFormat="false" ht="15" hidden="false" customHeight="true" outlineLevel="0" collapsed="false">
      <c r="A10" s="25" t="n">
        <f aca="false">A9+1</f>
        <v>8</v>
      </c>
      <c r="B10" s="26" t="n">
        <f aca="false">A10*CycleLength</f>
        <v>0.615384615384615</v>
      </c>
      <c r="C10" s="27" t="n">
        <f aca="false">MAX(0,1-I10-F10-G10-D10)</f>
        <v>0.211656580680688</v>
      </c>
      <c r="D10" s="27" t="n">
        <f aca="false">IF(A10=1, 0, F9*M10*(1-(1-(1-qx)^(1/13)))+D9*(1-pReResp)*(1-(1-(1-qx)^(1/13))))</f>
        <v>0.213882576716331</v>
      </c>
      <c r="E10" s="27" t="n">
        <f aca="false">C10+D10</f>
        <v>0.425539157397019</v>
      </c>
      <c r="F10" s="27" t="n">
        <f aca="false">IF(A10=1, C9*pRespEsk*(1-(1-(1-qx)^(1/13))), MAX(0, F9*(1-M10)*(1-(1-(1-qx)^(1/13)))+D9*pReResp*(1-(1-(1-qx)^(1/13)))))</f>
        <v>0.478434874716646</v>
      </c>
      <c r="G10" s="27" t="n">
        <f aca="false">IF(A10=1, 0, MAX(0, G9*(1-pRelComp)*(1-(1-(1-qx)^(1/13)))+C9*pReResp*(1-(1-(1-qx)^(1/13)))))</f>
        <v>0.0950410493192025</v>
      </c>
      <c r="H10" s="27" t="n">
        <f aca="false">F10+G10</f>
        <v>0.573475924035849</v>
      </c>
      <c r="I10" s="27" t="n">
        <f aca="false">I9+(1-I9)*(1-(1-qx)^(1/13))</f>
        <v>0.000984918567132123</v>
      </c>
      <c r="J10" s="27" t="n">
        <f aca="false">E10+H10+I10</f>
        <v>1</v>
      </c>
      <c r="K10" s="27" t="n">
        <f aca="false">F10</f>
        <v>0.478434874716646</v>
      </c>
      <c r="L10" s="27" t="n">
        <f aca="false">IF(A10&lt;TreatCycles,1,MAX(0,L9*(1-Waning)))</f>
        <v>1</v>
      </c>
      <c r="M10" s="27" t="n">
        <f aca="false">pRelEsk+(1-L10)*(pRelComp-pRelEsk)</f>
        <v>0.067787</v>
      </c>
      <c r="N10" s="25" t="n">
        <f aca="false">IF(A10&gt;=TreatCycles,0,IF(A10=1,Sess1,Sess2)*K10)</f>
        <v>0.956869749433293</v>
      </c>
      <c r="O10" s="29" t="n">
        <f aca="false">N10*(PriceSession+AdminSession)</f>
        <v>491.831051208712</v>
      </c>
      <c r="P10" s="29" t="n">
        <f aca="false">(1-I10)*cOral</f>
        <v>3.99606032573147</v>
      </c>
      <c r="Q10" s="29" t="n">
        <f aca="false">E10*cDep+H10*cResp</f>
        <v>511.078425790958</v>
      </c>
      <c r="R10" s="29" t="n">
        <f aca="false">O10+P10+Q10</f>
        <v>1006.9055373254</v>
      </c>
      <c r="S10" s="26" t="n">
        <f aca="false">(E10*uDep+H10*uResp)*CycleLength</f>
        <v>0.0507494677499004</v>
      </c>
      <c r="T10" s="26" t="n">
        <f aca="false">(S10+S11)/2</f>
        <v>0.0505052806330185</v>
      </c>
      <c r="U10" s="26" t="n">
        <f aca="false">1/(1+DiscRate)^(B10+CycleLength/2)</f>
        <v>0.977757846280235</v>
      </c>
      <c r="V10" s="29" t="n">
        <f aca="false">R10*U10</f>
        <v>984.509789582928</v>
      </c>
      <c r="W10" s="26" t="n">
        <f aca="false">T10*U10</f>
        <v>0.049381934417519</v>
      </c>
    </row>
    <row r="11" customFormat="false" ht="15" hidden="false" customHeight="true" outlineLevel="0" collapsed="false">
      <c r="A11" s="25" t="n">
        <f aca="false">A10+1</f>
        <v>9</v>
      </c>
      <c r="B11" s="26" t="n">
        <f aca="false">A11*CycleLength</f>
        <v>0.692307692307692</v>
      </c>
      <c r="C11" s="27" t="n">
        <f aca="false">MAX(0,1-I11-F11-G11-D11)</f>
        <v>0.206811940395154</v>
      </c>
      <c r="D11" s="27" t="n">
        <f aca="false">IF(A11=1, 0, F10*M11*(1-(1-(1-qx)^(1/13)))+D10*(1-pReResp)*(1-(1-(1-qx)^(1/13))))</f>
        <v>0.233456893543597</v>
      </c>
      <c r="E11" s="27" t="n">
        <f aca="false">C11+D11</f>
        <v>0.440268833938752</v>
      </c>
      <c r="F11" s="27" t="n">
        <f aca="false">IF(A11=1, C10*pRespEsk*(1-(1-(1-qx)^(1/13))), MAX(0, F10*(1-M11)*(1-(1-(1-qx)^(1/13)))+D10*pReResp*(1-(1-(1-qx)^(1/13)))))</f>
        <v>0.458775286599999</v>
      </c>
      <c r="G11" s="27" t="n">
        <f aca="false">IF(A11=1, 0, MAX(0, G10*(1-pRelComp)*(1-(1-(1-qx)^(1/13)))+C10*pReResp*(1-(1-(1-qx)^(1/13)))))</f>
        <v>0.0998479143004943</v>
      </c>
      <c r="H11" s="27" t="n">
        <f aca="false">F11+G11</f>
        <v>0.558623200900494</v>
      </c>
      <c r="I11" s="27" t="n">
        <f aca="false">I10+(1-I10)*(1-(1-qx)^(1/13))</f>
        <v>0.00110796516075466</v>
      </c>
      <c r="J11" s="27" t="n">
        <f aca="false">E11+H11+I11</f>
        <v>1</v>
      </c>
      <c r="K11" s="27" t="n">
        <f aca="false">F11</f>
        <v>0.458775286599999</v>
      </c>
      <c r="L11" s="27" t="n">
        <f aca="false">IF(A11&lt;TreatCycles,1,MAX(0,L10*(1-Waning)))</f>
        <v>0.85</v>
      </c>
      <c r="M11" s="27" t="n">
        <f aca="false">pRelEsk+(1-L11)*(pRelComp-pRelEsk)</f>
        <v>0.07673705</v>
      </c>
      <c r="N11" s="25" t="n">
        <f aca="false">IF(A11&gt;=TreatCycles,0,IF(A11=1,Sess1,Sess2)*K11)</f>
        <v>0</v>
      </c>
      <c r="O11" s="29" t="n">
        <f aca="false">N11*(PriceSession+AdminSession)</f>
        <v>0</v>
      </c>
      <c r="P11" s="29" t="n">
        <f aca="false">(1-I11)*cOral</f>
        <v>3.99556813935698</v>
      </c>
      <c r="Q11" s="29" t="n">
        <f aca="false">E11*cDep+H11*cResp</f>
        <v>523.077662207658</v>
      </c>
      <c r="R11" s="29" t="n">
        <f aca="false">O11+P11+Q11</f>
        <v>527.073230347015</v>
      </c>
      <c r="S11" s="26" t="n">
        <f aca="false">(E11*uDep+H11*uResp)*CycleLength</f>
        <v>0.0502610935161365</v>
      </c>
      <c r="T11" s="26" t="n">
        <f aca="false">(S11+S12)/2</f>
        <v>0.0499938506642067</v>
      </c>
      <c r="U11" s="26" t="n">
        <f aca="false">1/(1+DiscRate)^(B11+CycleLength/2)</f>
        <v>0.975173861748232</v>
      </c>
      <c r="V11" s="29" t="n">
        <f aca="false">R11*U11</f>
        <v>513.988037461614</v>
      </c>
      <c r="W11" s="26" t="n">
        <f aca="false">T11*U11</f>
        <v>0.0487526964158788</v>
      </c>
    </row>
    <row r="12" customFormat="false" ht="15" hidden="false" customHeight="true" outlineLevel="0" collapsed="false">
      <c r="A12" s="25" t="n">
        <f aca="false">A11+1</f>
        <v>10</v>
      </c>
      <c r="B12" s="26" t="n">
        <f aca="false">A12*CycleLength</f>
        <v>0.769230769230769</v>
      </c>
      <c r="C12" s="27" t="n">
        <f aca="false">MAX(0,1-I12-F12-G12-D12)</f>
        <v>0.202967999010313</v>
      </c>
      <c r="D12" s="27" t="n">
        <f aca="false">IF(A12=1, 0, F11*M12*(1-(1-(1-qx)^(1/13)))+D11*(1-pReResp)*(1-(1-(1-qx)^(1/13))))</f>
        <v>0.253444336604434</v>
      </c>
      <c r="E12" s="27" t="n">
        <f aca="false">C12+D12</f>
        <v>0.456412335614747</v>
      </c>
      <c r="F12" s="27" t="n">
        <f aca="false">IF(A12=1, C11*pRespEsk*(1-(1-(1-qx)^(1/13))), MAX(0, F11*(1-M12)*(1-(1-(1-qx)^(1/13)))+D11*pReResp*(1-(1-(1-qx)^(1/13)))))</f>
        <v>0.438702582752468</v>
      </c>
      <c r="G12" s="27" t="n">
        <f aca="false">IF(A12=1, 0, MAX(0, G11*(1-pRelComp)*(1-(1-(1-qx)^(1/13)))+C11*pReResp*(1-(1-(1-qx)^(1/13)))))</f>
        <v>0.103654085033798</v>
      </c>
      <c r="H12" s="27" t="n">
        <f aca="false">F12+G12</f>
        <v>0.542356667786267</v>
      </c>
      <c r="I12" s="27" t="n">
        <f aca="false">I11+(1-I11)*(1-(1-qx)^(1/13))</f>
        <v>0.00123099659898617</v>
      </c>
      <c r="J12" s="27" t="n">
        <f aca="false">E12+H12+I12</f>
        <v>1</v>
      </c>
      <c r="K12" s="27" t="n">
        <f aca="false">F12</f>
        <v>0.438702582752468</v>
      </c>
      <c r="L12" s="27" t="n">
        <f aca="false">IF(A12&lt;TreatCycles,1,MAX(0,L11*(1-Waning)))</f>
        <v>0.7225</v>
      </c>
      <c r="M12" s="27" t="n">
        <f aca="false">pRelEsk+(1-L12)*(pRelComp-pRelEsk)</f>
        <v>0.0843445925</v>
      </c>
      <c r="N12" s="25" t="n">
        <f aca="false">IF(A12&gt;=TreatCycles,0,IF(A12=1,Sess1,Sess2)*K12)</f>
        <v>0</v>
      </c>
      <c r="O12" s="29" t="n">
        <f aca="false">N12*(PriceSession+AdminSession)</f>
        <v>0</v>
      </c>
      <c r="P12" s="29" t="n">
        <f aca="false">(1-I12)*cOral</f>
        <v>3.99507601360406</v>
      </c>
      <c r="Q12" s="29" t="n">
        <f aca="false">E12*cDep+H12*cResp</f>
        <v>536.2305824194</v>
      </c>
      <c r="R12" s="29" t="n">
        <f aca="false">O12+P12+Q12</f>
        <v>540.225658433004</v>
      </c>
      <c r="S12" s="26" t="n">
        <f aca="false">(E12*uDep+H12*uResp)*CycleLength</f>
        <v>0.0497266078122769</v>
      </c>
      <c r="T12" s="26" t="n">
        <f aca="false">(S12+S13)/2</f>
        <v>0.049453895705971</v>
      </c>
      <c r="U12" s="26" t="n">
        <f aca="false">1/(1+DiscRate)^(B12+CycleLength/2)</f>
        <v>0.972596706080949</v>
      </c>
      <c r="V12" s="29" t="n">
        <f aca="false">R12*U12</f>
        <v>525.421695932351</v>
      </c>
      <c r="W12" s="26" t="n">
        <f aca="false">T12*U12</f>
        <v>0.0480986960664982</v>
      </c>
    </row>
    <row r="13" customFormat="false" ht="15" hidden="false" customHeight="true" outlineLevel="0" collapsed="false">
      <c r="A13" s="25" t="n">
        <f aca="false">A12+1</f>
        <v>11</v>
      </c>
      <c r="B13" s="26" t="n">
        <f aca="false">A13*CycleLength</f>
        <v>0.846153846153846</v>
      </c>
      <c r="C13" s="27" t="n">
        <f aca="false">MAX(0,1-I13-F13-G13-D13)</f>
        <v>0.199917060444899</v>
      </c>
      <c r="D13" s="27" t="n">
        <f aca="false">IF(A13=1, 0, F12*M13*(1-(1-(1-qx)^(1/13)))+D12*(1-pReResp)*(1-(1-(1-qx)^(1/13))))</f>
        <v>0.272974185708798</v>
      </c>
      <c r="E13" s="27" t="n">
        <f aca="false">C13+D13</f>
        <v>0.472891246153697</v>
      </c>
      <c r="F13" s="27" t="n">
        <f aca="false">IF(A13=1, C12*pRespEsk*(1-(1-(1-qx)^(1/13))), MAX(0, F12*(1-M13)*(1-(1-(1-qx)^(1/13)))+D12*pReResp*(1-(1-(1-qx)^(1/13)))))</f>
        <v>0.419087483362803</v>
      </c>
      <c r="G13" s="27" t="n">
        <f aca="false">IF(A13=1, 0, MAX(0, G12*(1-pRelComp)*(1-(1-(1-qx)^(1/13)))+C12*pReResp*(1-(1-(1-qx)^(1/13)))))</f>
        <v>0.106667257599807</v>
      </c>
      <c r="H13" s="27" t="n">
        <f aca="false">F13+G13</f>
        <v>0.52575474096261</v>
      </c>
      <c r="I13" s="27" t="n">
        <f aca="false">I12+(1-I12)*(1-(1-qx)^(1/13))</f>
        <v>0.0013540128836933</v>
      </c>
      <c r="J13" s="27" t="n">
        <f aca="false">E13+H13+I13</f>
        <v>1</v>
      </c>
      <c r="K13" s="27" t="n">
        <f aca="false">F13</f>
        <v>0.419087483362803</v>
      </c>
      <c r="L13" s="27" t="n">
        <f aca="false">IF(A13&lt;TreatCycles,1,MAX(0,L12*(1-Waning)))</f>
        <v>0.614125</v>
      </c>
      <c r="M13" s="27" t="n">
        <f aca="false">pRelEsk+(1-L13)*(pRelComp-pRelEsk)</f>
        <v>0.090811003625</v>
      </c>
      <c r="N13" s="25" t="n">
        <f aca="false">IF(A13&gt;=TreatCycles,0,IF(A13=1,Sess1,Sess2)*K13)</f>
        <v>0</v>
      </c>
      <c r="O13" s="29" t="n">
        <f aca="false">N13*(PriceSession+AdminSession)</f>
        <v>0</v>
      </c>
      <c r="P13" s="29" t="n">
        <f aca="false">(1-I13)*cOral</f>
        <v>3.99458394846523</v>
      </c>
      <c r="Q13" s="29" t="n">
        <f aca="false">E13*cDep+H13*cResp</f>
        <v>549.657198748491</v>
      </c>
      <c r="R13" s="29" t="n">
        <f aca="false">O13+P13+Q13</f>
        <v>553.651782696956</v>
      </c>
      <c r="S13" s="26" t="n">
        <f aca="false">(E13*uDep+H13*uResp)*CycleLength</f>
        <v>0.0491811835996651</v>
      </c>
      <c r="T13" s="26" t="n">
        <f aca="false">(S13+S14)/2</f>
        <v>0.0489152237686006</v>
      </c>
      <c r="U13" s="26" t="n">
        <f aca="false">1/(1+DiscRate)^(B13+CycleLength/2)</f>
        <v>0.970026361231299</v>
      </c>
      <c r="V13" s="29" t="n">
        <f aca="false">R13*U13</f>
        <v>537.056824158751</v>
      </c>
      <c r="W13" s="26" t="n">
        <f aca="false">T13*U13</f>
        <v>0.0474490565210704</v>
      </c>
    </row>
    <row r="14" customFormat="false" ht="15" hidden="false" customHeight="true" outlineLevel="0" collapsed="false">
      <c r="A14" s="25" t="n">
        <f aca="false">A13+1</f>
        <v>12</v>
      </c>
      <c r="B14" s="26" t="n">
        <f aca="false">A14*CycleLength</f>
        <v>0.923076923076923</v>
      </c>
      <c r="C14" s="27" t="n">
        <f aca="false">MAX(0,1-I14-F14-G14-D14)</f>
        <v>0.197494536274926</v>
      </c>
      <c r="D14" s="27" t="n">
        <f aca="false">IF(A14=1, 0, F13*M14*(1-(1-(1-qx)^(1/13)))+D13*(1-pReResp)*(1-(1-(1-qx)^(1/13))))</f>
        <v>0.29146159585703</v>
      </c>
      <c r="E14" s="27" t="n">
        <f aca="false">C14+D14</f>
        <v>0.488956132131957</v>
      </c>
      <c r="F14" s="27" t="n">
        <f aca="false">IF(A14=1, C13*pRespEsk*(1-(1-(1-qx)^(1/13))), MAX(0, F13*(1-M14)*(1-(1-(1-qx)^(1/13)))+D13*pReResp*(1-(1-(1-qx)^(1/13)))))</f>
        <v>0.400514833429367</v>
      </c>
      <c r="G14" s="27" t="n">
        <f aca="false">IF(A14=1, 0, MAX(0, G13*(1-pRelComp)*(1-(1-(1-qx)^(1/13)))+C13*pReResp*(1-(1-(1-qx)^(1/13)))))</f>
        <v>0.109052020421934</v>
      </c>
      <c r="H14" s="27" t="n">
        <f aca="false">F14+G14</f>
        <v>0.509566853851301</v>
      </c>
      <c r="I14" s="27" t="n">
        <f aca="false">I13+(1-I13)*(1-(1-qx)^(1/13))</f>
        <v>0.0014770140167425</v>
      </c>
      <c r="J14" s="27" t="n">
        <f aca="false">E14+H14+I14</f>
        <v>1</v>
      </c>
      <c r="K14" s="27" t="n">
        <f aca="false">F14</f>
        <v>0.400514833429367</v>
      </c>
      <c r="L14" s="27" t="n">
        <f aca="false">IF(A14&lt;TreatCycles,1,MAX(0,L13*(1-Waning)))</f>
        <v>0.52200625</v>
      </c>
      <c r="M14" s="27" t="n">
        <f aca="false">pRelEsk+(1-L14)*(pRelComp-pRelEsk)</f>
        <v>0.09630745308125</v>
      </c>
      <c r="N14" s="25" t="n">
        <f aca="false">IF(A14&gt;=TreatCycles,0,IF(A14=1,Sess1,Sess2)*K14)</f>
        <v>0</v>
      </c>
      <c r="O14" s="29" t="n">
        <f aca="false">N14*(PriceSession+AdminSession)</f>
        <v>0</v>
      </c>
      <c r="P14" s="29" t="n">
        <f aca="false">(1-I14)*cOral</f>
        <v>3.99409194393303</v>
      </c>
      <c r="Q14" s="29" t="n">
        <f aca="false">E14*cDep+H14*cResp</f>
        <v>562.745973520931</v>
      </c>
      <c r="R14" s="29" t="n">
        <f aca="false">O14+P14+Q14</f>
        <v>566.740065464864</v>
      </c>
      <c r="S14" s="26" t="n">
        <f aca="false">(E14*uDep+H14*uResp)*CycleLength</f>
        <v>0.0486492639375361</v>
      </c>
      <c r="T14" s="26" t="n">
        <f aca="false">(S14+S15)/2</f>
        <v>0.0483979912684158</v>
      </c>
      <c r="U14" s="26" t="n">
        <f aca="false">1/(1+DiscRate)^(B14+CycleLength/2)</f>
        <v>0.967462809199891</v>
      </c>
      <c r="V14" s="29" t="n">
        <f aca="false">R14*U14</f>
        <v>548.299935820767</v>
      </c>
      <c r="W14" s="26" t="n">
        <f aca="false">T14*U14</f>
        <v>0.0468232565921733</v>
      </c>
    </row>
    <row r="15" customFormat="false" ht="15" hidden="false" customHeight="true" outlineLevel="0" collapsed="false">
      <c r="A15" s="25" t="n">
        <f aca="false">A14+1</f>
        <v>13</v>
      </c>
      <c r="B15" s="26" t="n">
        <f aca="false">A15*CycleLength</f>
        <v>1</v>
      </c>
      <c r="C15" s="27" t="n">
        <f aca="false">MAX(0,1-I15-F15-G15-D15)</f>
        <v>0.195569998669745</v>
      </c>
      <c r="D15" s="27" t="n">
        <f aca="false">IF(A15=1, 0, F14*M15*(1-(1-(1-qx)^(1/13)))+D14*(1-pReResp)*(1-(1-(1-qx)^(1/13))))</f>
        <v>0.308550421634877</v>
      </c>
      <c r="E15" s="27" t="n">
        <f aca="false">C15+D15</f>
        <v>0.504120420304622</v>
      </c>
      <c r="F15" s="27" t="n">
        <f aca="false">IF(A15=1, C14*pRespEsk*(1-(1-(1-qx)^(1/13))), MAX(0, F14*(1-M15)*(1-(1-(1-qx)^(1/13)))+D14*pReResp*(1-(1-(1-qx)^(1/13)))))</f>
        <v>0.383340778365123</v>
      </c>
      <c r="G15" s="27" t="n">
        <f aca="false">IF(A15=1, 0, MAX(0, G14*(1-pRelComp)*(1-(1-(1-qx)^(1/13)))+C14*pReResp*(1-(1-(1-qx)^(1/13)))))</f>
        <v>0.110938801330255</v>
      </c>
      <c r="H15" s="27" t="n">
        <f aca="false">F15+G15</f>
        <v>0.494279579695378</v>
      </c>
      <c r="I15" s="27" t="n">
        <f aca="false">I14+(1-I14)*(1-(1-qx)^(1/13))</f>
        <v>0.00159999999999995</v>
      </c>
      <c r="J15" s="27" t="n">
        <f aca="false">E15+H15+I15</f>
        <v>1</v>
      </c>
      <c r="K15" s="27" t="n">
        <f aca="false">F15</f>
        <v>0.383340778365123</v>
      </c>
      <c r="L15" s="27" t="n">
        <f aca="false">IF(A15&lt;TreatCycles,1,MAX(0,L14*(1-Waning)))</f>
        <v>0.4437053125</v>
      </c>
      <c r="M15" s="27" t="n">
        <f aca="false">pRelEsk+(1-L15)*(pRelComp-pRelEsk)</f>
        <v>0.100979435119063</v>
      </c>
      <c r="N15" s="25" t="n">
        <f aca="false">IF(A15&gt;=TreatCycles,0,IF(A15=1,Sess1,Sess2)*K15)</f>
        <v>0</v>
      </c>
      <c r="O15" s="29" t="n">
        <f aca="false">N15*(PriceSession+AdminSession)</f>
        <v>0</v>
      </c>
      <c r="P15" s="29" t="n">
        <f aca="false">(1-I15)*cOral</f>
        <v>3.9936</v>
      </c>
      <c r="Q15" s="29" t="n">
        <f aca="false">E15*cDep+H15*cResp</f>
        <v>575.099862968572</v>
      </c>
      <c r="R15" s="29" t="n">
        <f aca="false">O15+P15+Q15</f>
        <v>579.093462968572</v>
      </c>
      <c r="S15" s="26" t="n">
        <f aca="false">(E15*uDep+H15*uResp)*CycleLength</f>
        <v>0.0481467185992954</v>
      </c>
      <c r="T15" s="26" t="n">
        <f aca="false">(S15+S16)/2</f>
        <v>0.0479147921778855</v>
      </c>
      <c r="U15" s="26" t="n">
        <f aca="false">1/(1+DiscRate)^(B15+CycleLength/2)</f>
        <v>0.964906032034899</v>
      </c>
      <c r="V15" s="29" t="n">
        <f aca="false">R15*U15</f>
        <v>558.770775530353</v>
      </c>
      <c r="W15" s="26" t="n">
        <f aca="false">T15*U15</f>
        <v>0.0462332719961403</v>
      </c>
    </row>
    <row r="16" customFormat="false" ht="15" hidden="false" customHeight="true" outlineLevel="0" collapsed="false">
      <c r="A16" s="25" t="n">
        <f aca="false">A15+1</f>
        <v>14</v>
      </c>
      <c r="B16" s="26" t="n">
        <f aca="false">A16*CycleLength</f>
        <v>1.07692307692308</v>
      </c>
      <c r="C16" s="27" t="n">
        <f aca="false">MAX(0,1-I16-F16-G16-D16)</f>
        <v>0.194040090305686</v>
      </c>
      <c r="D16" s="27" t="n">
        <f aca="false">IF(A16=1, 0, F15*M16*(1-(1-(1-qx)^(1/13)))+D15*(1-pReResp)*(1-(1-(1-qx)^(1/13))))</f>
        <v>0.32405832170682</v>
      </c>
      <c r="E16" s="27" t="n">
        <f aca="false">C16+D16</f>
        <v>0.518098412012506</v>
      </c>
      <c r="F16" s="27" t="n">
        <f aca="false">IF(A16=1, C15*pRespEsk*(1-(1-(1-qx)^(1/13))), MAX(0, F15*(1-M16)*(1-(1-(1-qx)^(1/13)))+D15*pReResp*(1-(1-(1-qx)^(1/13)))))</f>
        <v>0.367747659504295</v>
      </c>
      <c r="G16" s="27" t="n">
        <f aca="false">IF(A16=1, 0, MAX(0, G15*(1-pRelComp)*(1-(1-(1-qx)^(1/13)))+C15*pReResp*(1-(1-(1-qx)^(1/13)))))</f>
        <v>0.112430957647868</v>
      </c>
      <c r="H16" s="27" t="n">
        <f aca="false">F16+G16</f>
        <v>0.480178617152163</v>
      </c>
      <c r="I16" s="27" t="n">
        <f aca="false">I15+(1-I15)*(1-(1-qx)^(1/13))</f>
        <v>0.00172297083533162</v>
      </c>
      <c r="J16" s="27" t="n">
        <f aca="false">E16+H16+I16</f>
        <v>1</v>
      </c>
      <c r="K16" s="27" t="n">
        <f aca="false">F16</f>
        <v>0.367747659504295</v>
      </c>
      <c r="L16" s="27" t="n">
        <f aca="false">IF(A16&lt;TreatCycles,1,MAX(0,L15*(1-Waning)))</f>
        <v>0.377149515625</v>
      </c>
      <c r="M16" s="27" t="n">
        <f aca="false">pRelEsk+(1-L16)*(pRelComp-pRelEsk)</f>
        <v>0.104950619851203</v>
      </c>
      <c r="N16" s="25" t="n">
        <f aca="false">IF(A16&gt;=TreatCycles,0,IF(A16=1,Sess1,Sess2)*K16)</f>
        <v>0</v>
      </c>
      <c r="O16" s="29" t="n">
        <f aca="false">N16*(PriceSession+AdminSession)</f>
        <v>0</v>
      </c>
      <c r="P16" s="29" t="n">
        <f aca="false">(1-I16)*cOral</f>
        <v>3.99310811665867</v>
      </c>
      <c r="Q16" s="29" t="n">
        <f aca="false">E16*cDep+H16*cResp</f>
        <v>586.48573698521</v>
      </c>
      <c r="R16" s="29" t="n">
        <f aca="false">O16+P16+Q16</f>
        <v>590.478845101869</v>
      </c>
      <c r="S16" s="26" t="n">
        <f aca="false">(E16*uDep+H16*uResp)*CycleLength</f>
        <v>0.0476828657564757</v>
      </c>
      <c r="T16" s="26" t="n">
        <f aca="false">(S16+S17)/2</f>
        <v>0.0474725440827022</v>
      </c>
      <c r="U16" s="26" t="n">
        <f aca="false">1/(1+DiscRate)^(B16+CycleLength/2)</f>
        <v>0.962356011831941</v>
      </c>
      <c r="V16" s="29" t="n">
        <f aca="false">R16*U16</f>
        <v>568.250866443365</v>
      </c>
      <c r="W16" s="26" t="n">
        <f aca="false">T16*U16</f>
        <v>0.0456854881949453</v>
      </c>
    </row>
    <row r="17" customFormat="false" ht="15" hidden="false" customHeight="true" outlineLevel="0" collapsed="false">
      <c r="A17" s="25" t="n">
        <f aca="false">A16+1</f>
        <v>15</v>
      </c>
      <c r="B17" s="26" t="n">
        <f aca="false">A17*CycleLength</f>
        <v>1.15384615384615</v>
      </c>
      <c r="C17" s="27" t="n">
        <f aca="false">MAX(0,1-I17-F17-G17-D17)</f>
        <v>0.192822905838583</v>
      </c>
      <c r="D17" s="27" t="n">
        <f aca="false">IF(A17=1, 0, F16*M17*(1-(1-(1-qx)^(1/13)))+D16*(1-pReResp)*(1-(1-(1-qx)^(1/13))))</f>
        <v>0.337928708493336</v>
      </c>
      <c r="E17" s="27" t="n">
        <f aca="false">C17+D17</f>
        <v>0.530751614331919</v>
      </c>
      <c r="F17" s="27" t="n">
        <f aca="false">IF(A17=1, C16*pRespEsk*(1-(1-(1-qx)^(1/13))), MAX(0, F16*(1-M17)*(1-(1-(1-qx)^(1/13)))+D16*pReResp*(1-(1-(1-qx)^(1/13)))))</f>
        <v>0.353792064425114</v>
      </c>
      <c r="G17" s="27" t="n">
        <f aca="false">IF(A17=1, 0, MAX(0, G16*(1-pRelComp)*(1-(1-(1-qx)^(1/13)))+C16*pReResp*(1-(1-(1-qx)^(1/13)))))</f>
        <v>0.113610394718364</v>
      </c>
      <c r="H17" s="27" t="n">
        <f aca="false">F17+G17</f>
        <v>0.467402459143477</v>
      </c>
      <c r="I17" s="27" t="n">
        <f aca="false">I16+(1-I16)*(1-(1-qx)^(1/13))</f>
        <v>0.00184592652460326</v>
      </c>
      <c r="J17" s="27" t="n">
        <f aca="false">E17+H17+I17</f>
        <v>1</v>
      </c>
      <c r="K17" s="27" t="n">
        <f aca="false">F17</f>
        <v>0.353792064425114</v>
      </c>
      <c r="L17" s="27" t="n">
        <f aca="false">IF(A17&lt;TreatCycles,1,MAX(0,L16*(1-Waning)))</f>
        <v>0.32057708828125</v>
      </c>
      <c r="M17" s="27" t="n">
        <f aca="false">pRelEsk+(1-L17)*(pRelComp-pRelEsk)</f>
        <v>0.108326126873523</v>
      </c>
      <c r="N17" s="25" t="n">
        <f aca="false">IF(A17&gt;=TreatCycles,0,IF(A17=1,Sess1,Sess2)*K17)</f>
        <v>0</v>
      </c>
      <c r="O17" s="29" t="n">
        <f aca="false">N17*(PriceSession+AdminSession)</f>
        <v>0</v>
      </c>
      <c r="P17" s="29" t="n">
        <f aca="false">(1-I17)*cOral</f>
        <v>3.99261629390159</v>
      </c>
      <c r="Q17" s="29" t="n">
        <f aca="false">E17*cDep+H17*cResp</f>
        <v>596.790585344811</v>
      </c>
      <c r="R17" s="29" t="n">
        <f aca="false">O17+P17+Q17</f>
        <v>600.783201638713</v>
      </c>
      <c r="S17" s="26" t="n">
        <f aca="false">(E17*uDep+H17*uResp)*CycleLength</f>
        <v>0.0472622224089288</v>
      </c>
      <c r="T17" s="26" t="n">
        <f aca="false">(S17+S18)/2</f>
        <v>0.0470740794492943</v>
      </c>
      <c r="U17" s="26" t="n">
        <f aca="false">1/(1+DiscRate)^(B17+CycleLength/2)</f>
        <v>0.959812730733953</v>
      </c>
      <c r="V17" s="29" t="n">
        <f aca="false">R17*U17</f>
        <v>576.63936534394</v>
      </c>
      <c r="W17" s="26" t="n">
        <f aca="false">T17*U17</f>
        <v>0.0451823007430143</v>
      </c>
    </row>
    <row r="18" customFormat="false" ht="15" hidden="false" customHeight="true" outlineLevel="0" collapsed="false">
      <c r="A18" s="25" t="n">
        <f aca="false">A17+1</f>
        <v>16</v>
      </c>
      <c r="B18" s="26" t="n">
        <f aca="false">A18*CycleLength</f>
        <v>1.23076923076923</v>
      </c>
      <c r="C18" s="27" t="n">
        <f aca="false">MAX(0,1-I18-F18-G18-D18)</f>
        <v>0.191853539510758</v>
      </c>
      <c r="D18" s="27" t="n">
        <f aca="false">IF(A18=1, 0, F17*M18*(1-(1-(1-qx)^(1/13)))+D17*(1-pReResp)*(1-(1-(1-qx)^(1/13))))</f>
        <v>0.35019129168929</v>
      </c>
      <c r="E18" s="27" t="n">
        <f aca="false">C18+D18</f>
        <v>0.542044831200048</v>
      </c>
      <c r="F18" s="27" t="n">
        <f aca="false">IF(A18=1, C17*pRespEsk*(1-(1-(1-qx)^(1/13))), MAX(0, F17*(1-M18)*(1-(1-(1-qx)^(1/13)))+D17*pReResp*(1-(1-(1-qx)^(1/13)))))</f>
        <v>0.341444283431421</v>
      </c>
      <c r="G18" s="27" t="n">
        <f aca="false">IF(A18=1, 0, MAX(0, G17*(1-pRelComp)*(1-(1-(1-qx)^(1/13)))+C17*pReResp*(1-(1-(1-qx)^(1/13)))))</f>
        <v>0.11454201829885</v>
      </c>
      <c r="H18" s="27" t="n">
        <f aca="false">F18+G18</f>
        <v>0.455986301730272</v>
      </c>
      <c r="I18" s="27" t="n">
        <f aca="false">I17+(1-I17)*(1-(1-qx)^(1/13))</f>
        <v>0.00196886706968037</v>
      </c>
      <c r="J18" s="27" t="n">
        <f aca="false">E18+H18+I18</f>
        <v>1</v>
      </c>
      <c r="K18" s="27" t="n">
        <f aca="false">F18</f>
        <v>0.341444283431421</v>
      </c>
      <c r="L18" s="27" t="n">
        <f aca="false">IF(A18&lt;TreatCycles,1,MAX(0,L17*(1-Waning)))</f>
        <v>0.272490525039062</v>
      </c>
      <c r="M18" s="27" t="n">
        <f aca="false">pRelEsk+(1-L18)*(pRelComp-pRelEsk)</f>
        <v>0.111195307842494</v>
      </c>
      <c r="N18" s="25" t="n">
        <f aca="false">IF(A18&gt;=TreatCycles,0,IF(A18=1,Sess1,Sess2)*K18)</f>
        <v>0</v>
      </c>
      <c r="O18" s="29" t="n">
        <f aca="false">N18*(PriceSession+AdminSession)</f>
        <v>0</v>
      </c>
      <c r="P18" s="29" t="n">
        <f aca="false">(1-I18)*cOral</f>
        <v>3.99212453172128</v>
      </c>
      <c r="Q18" s="29" t="n">
        <f aca="false">E18*cDep+H18*cResp</f>
        <v>605.985688059811</v>
      </c>
      <c r="R18" s="29" t="n">
        <f aca="false">O18+P18+Q18</f>
        <v>609.977812591533</v>
      </c>
      <c r="S18" s="26" t="n">
        <f aca="false">(E18*uDep+H18*uResp)*CycleLength</f>
        <v>0.0468859364896599</v>
      </c>
      <c r="T18" s="26" t="n">
        <f aca="false">(S18+S19)/2</f>
        <v>0.0467194220257177</v>
      </c>
      <c r="U18" s="26" t="n">
        <f aca="false">1/(1+DiscRate)^(B18+CycleLength/2)</f>
        <v>0.957276170931061</v>
      </c>
      <c r="V18" s="29" t="n">
        <f aca="false">R18*U18</f>
        <v>583.917224790527</v>
      </c>
      <c r="W18" s="26" t="n">
        <f aca="false">T18*U18</f>
        <v>0.0447233894248913</v>
      </c>
    </row>
    <row r="19" customFormat="false" ht="15" hidden="false" customHeight="true" outlineLevel="0" collapsed="false">
      <c r="A19" s="25" t="n">
        <f aca="false">A18+1</f>
        <v>17</v>
      </c>
      <c r="B19" s="26" t="n">
        <f aca="false">A19*CycleLength</f>
        <v>1.30769230769231</v>
      </c>
      <c r="C19" s="27" t="n">
        <f aca="false">MAX(0,1-I19-F19-G19-D19)</f>
        <v>0.191080556859367</v>
      </c>
      <c r="D19" s="27" t="n">
        <f aca="false">IF(A19=1, 0, F18*M19*(1-(1-(1-qx)^(1/13)))+D18*(1-pReResp)*(1-(1-(1-qx)^(1/13))))</f>
        <v>0.360931245564233</v>
      </c>
      <c r="E19" s="27" t="n">
        <f aca="false">C19+D19</f>
        <v>0.552011802423601</v>
      </c>
      <c r="F19" s="27" t="n">
        <f aca="false">IF(A19=1, C18*pRespEsk*(1-(1-(1-qx)^(1/13))), MAX(0, F18*(1-M19)*(1-(1-(1-qx)^(1/13)))+D18*pReResp*(1-(1-(1-qx)^(1/13)))))</f>
        <v>0.330619142252374</v>
      </c>
      <c r="G19" s="27" t="n">
        <f aca="false">IF(A19=1, 0, MAX(0, G18*(1-pRelComp)*(1-(1-(1-qx)^(1/13)))+C18*pReResp*(1-(1-(1-qx)^(1/13)))))</f>
        <v>0.115277262851598</v>
      </c>
      <c r="H19" s="27" t="n">
        <f aca="false">F19+G19</f>
        <v>0.445896405103971</v>
      </c>
      <c r="I19" s="27" t="n">
        <f aca="false">I18+(1-I18)*(1-(1-qx)^(1/13))</f>
        <v>0.00209179247242822</v>
      </c>
      <c r="J19" s="27" t="n">
        <f aca="false">E19+H19+I19</f>
        <v>1</v>
      </c>
      <c r="K19" s="27" t="n">
        <f aca="false">F19</f>
        <v>0.330619142252374</v>
      </c>
      <c r="L19" s="27" t="n">
        <f aca="false">IF(A19&lt;TreatCycles,1,MAX(0,L18*(1-Waning)))</f>
        <v>0.231616946283203</v>
      </c>
      <c r="M19" s="27" t="n">
        <f aca="false">pRelEsk+(1-L19)*(pRelComp-pRelEsk)</f>
        <v>0.11363411166612</v>
      </c>
      <c r="N19" s="25" t="n">
        <f aca="false">IF(A19&gt;=TreatCycles,0,IF(A19=1,Sess1,Sess2)*K19)</f>
        <v>0</v>
      </c>
      <c r="O19" s="29" t="n">
        <f aca="false">N19*(PriceSession+AdminSession)</f>
        <v>0</v>
      </c>
      <c r="P19" s="29" t="n">
        <f aca="false">(1-I19)*cOral</f>
        <v>3.99163283011029</v>
      </c>
      <c r="Q19" s="29" t="n">
        <f aca="false">E19*cDep+H19*cResp</f>
        <v>614.09857681218</v>
      </c>
      <c r="R19" s="29" t="n">
        <f aca="false">O19+P19+Q19</f>
        <v>618.09020964229</v>
      </c>
      <c r="S19" s="26" t="n">
        <f aca="false">(E19*uDep+H19*uResp)*CycleLength</f>
        <v>0.0465529075617755</v>
      </c>
      <c r="T19" s="26" t="n">
        <f aca="false">(S19+S20)/2</f>
        <v>0.0464067693812443</v>
      </c>
      <c r="U19" s="26" t="n">
        <f aca="false">1/(1+DiscRate)^(B19+CycleLength/2)</f>
        <v>0.95474631466046</v>
      </c>
      <c r="V19" s="29" t="n">
        <f aca="false">R19*U19</f>
        <v>590.119349783688</v>
      </c>
      <c r="W19" s="26" t="n">
        <f aca="false">T19*U19</f>
        <v>0.0443066920420408</v>
      </c>
    </row>
    <row r="20" customFormat="false" ht="15" hidden="false" customHeight="true" outlineLevel="0" collapsed="false">
      <c r="A20" s="25" t="n">
        <f aca="false">A19+1</f>
        <v>18</v>
      </c>
      <c r="B20" s="26" t="n">
        <f aca="false">A20*CycleLength</f>
        <v>1.38461538461538</v>
      </c>
      <c r="C20" s="27" t="n">
        <f aca="false">MAX(0,1-I20-F20-G20-D20)</f>
        <v>0.190463198727387</v>
      </c>
      <c r="D20" s="27" t="n">
        <f aca="false">IF(A20=1, 0, F19*M20*(1-(1-(1-qx)^(1/13)))+D19*(1-pReResp)*(1-(1-(1-qx)^(1/13))))</f>
        <v>0.370266115873645</v>
      </c>
      <c r="E20" s="27" t="n">
        <f aca="false">C20+D20</f>
        <v>0.560729314601032</v>
      </c>
      <c r="F20" s="27" t="n">
        <f aca="false">IF(A20=1, C19*pRespEsk*(1-(1-(1-qx)^(1/13))), MAX(0, F19*(1-M20)*(1-(1-(1-qx)^(1/13)))+D19*pReResp*(1-(1-(1-qx)^(1/13)))))</f>
        <v>0.321199095131199</v>
      </c>
      <c r="G20" s="27" t="n">
        <f aca="false">IF(A20=1, 0, MAX(0, G19*(1-pRelComp)*(1-(1-(1-qx)^(1/13)))+C19*pReResp*(1-(1-(1-qx)^(1/13)))))</f>
        <v>0.115856887533057</v>
      </c>
      <c r="H20" s="27" t="n">
        <f aca="false">F20+G20</f>
        <v>0.437055982664256</v>
      </c>
      <c r="I20" s="27" t="n">
        <f aca="false">I19+(1-I19)*(1-(1-qx)^(1/13))</f>
        <v>0.00221470273471187</v>
      </c>
      <c r="J20" s="27" t="n">
        <f aca="false">E20+H20+I20</f>
        <v>1</v>
      </c>
      <c r="K20" s="27" t="n">
        <f aca="false">F20</f>
        <v>0.321199095131199</v>
      </c>
      <c r="L20" s="27" t="n">
        <f aca="false">IF(A20&lt;TreatCycles,1,MAX(0,L19*(1-Waning)))</f>
        <v>0.196874404340723</v>
      </c>
      <c r="M20" s="27" t="n">
        <f aca="false">pRelEsk+(1-L20)*(pRelComp-pRelEsk)</f>
        <v>0.115707094916202</v>
      </c>
      <c r="N20" s="25" t="n">
        <f aca="false">IF(A20&gt;=TreatCycles,0,IF(A20=1,Sess1,Sess2)*K20)</f>
        <v>0</v>
      </c>
      <c r="O20" s="29" t="n">
        <f aca="false">N20*(PriceSession+AdminSession)</f>
        <v>0</v>
      </c>
      <c r="P20" s="29" t="n">
        <f aca="false">(1-I20)*cOral</f>
        <v>3.99114118906115</v>
      </c>
      <c r="Q20" s="29" t="n">
        <f aca="false">E20*cDep+H20*cResp</f>
        <v>621.191909465949</v>
      </c>
      <c r="R20" s="29" t="n">
        <f aca="false">O20+P20+Q20</f>
        <v>625.183050655011</v>
      </c>
      <c r="S20" s="26" t="n">
        <f aca="false">(E20*uDep+H20*uResp)*CycleLength</f>
        <v>0.046260631200713</v>
      </c>
      <c r="T20" s="26" t="n">
        <f aca="false">(S20+S21)/2</f>
        <v>0.0461332222399313</v>
      </c>
      <c r="U20" s="26" t="n">
        <f aca="false">1/(1+DiscRate)^(B20+CycleLength/2)</f>
        <v>0.952223144206287</v>
      </c>
      <c r="V20" s="29" t="n">
        <f aca="false">R20*U20</f>
        <v>595.313770199193</v>
      </c>
      <c r="W20" s="26" t="n">
        <f aca="false">T20*U20</f>
        <v>0.0439291219336748</v>
      </c>
    </row>
    <row r="21" customFormat="false" ht="15" hidden="false" customHeight="true" outlineLevel="0" collapsed="false">
      <c r="A21" s="25" t="n">
        <f aca="false">A20+1</f>
        <v>19</v>
      </c>
      <c r="B21" s="26" t="n">
        <f aca="false">A21*CycleLength</f>
        <v>1.46153846153846</v>
      </c>
      <c r="C21" s="27" t="n">
        <f aca="false">MAX(0,1-I21-F21-G21-D21)</f>
        <v>0.189969165586638</v>
      </c>
      <c r="D21" s="27" t="n">
        <f aca="false">IF(A21=1, 0, F20*M21*(1-(1-(1-qx)^(1/13)))+D20*(1-pReResp)*(1-(1-(1-qx)^(1/13))))</f>
        <v>0.378329201328796</v>
      </c>
      <c r="E21" s="27" t="n">
        <f aca="false">C21+D21</f>
        <v>0.568298366915434</v>
      </c>
      <c r="F21" s="27" t="n">
        <f aca="false">IF(A21=1, C20*pRespEsk*(1-(1-(1-qx)^(1/13))), MAX(0, F20*(1-M21)*(1-(1-(1-qx)^(1/13)))+D20*pReResp*(1-(1-(1-qx)^(1/13)))))</f>
        <v>0.313050843355336</v>
      </c>
      <c r="G21" s="27" t="n">
        <f aca="false">IF(A21=1, 0, MAX(0, G20*(1-pRelComp)*(1-(1-(1-qx)^(1/13)))+C20*pReResp*(1-(1-(1-qx)^(1/13)))))</f>
        <v>0.116313191870835</v>
      </c>
      <c r="H21" s="27" t="n">
        <f aca="false">F21+G21</f>
        <v>0.42936403522617</v>
      </c>
      <c r="I21" s="27" t="n">
        <f aca="false">I20+(1-I20)*(1-(1-qx)^(1/13))</f>
        <v>0.00233759785839614</v>
      </c>
      <c r="J21" s="27" t="n">
        <f aca="false">E21+H21+I21</f>
        <v>1</v>
      </c>
      <c r="K21" s="27" t="n">
        <f aca="false">F21</f>
        <v>0.313050843355336</v>
      </c>
      <c r="L21" s="27" t="n">
        <f aca="false">IF(A21&lt;TreatCycles,1,MAX(0,L20*(1-Waning)))</f>
        <v>0.167343243689614</v>
      </c>
      <c r="M21" s="27" t="n">
        <f aca="false">pRelEsk+(1-L21)*(pRelComp-pRelEsk)</f>
        <v>0.117469130678772</v>
      </c>
      <c r="N21" s="25" t="n">
        <f aca="false">IF(A21&gt;=TreatCycles,0,IF(A21=1,Sess1,Sess2)*K21)</f>
        <v>0</v>
      </c>
      <c r="O21" s="29" t="n">
        <f aca="false">N21*(PriceSession+AdminSession)</f>
        <v>0</v>
      </c>
      <c r="P21" s="29" t="n">
        <f aca="false">(1-I21)*cOral</f>
        <v>3.99064960856642</v>
      </c>
      <c r="Q21" s="29" t="n">
        <f aca="false">E21*cDep+H21*cResp</f>
        <v>627.348101354217</v>
      </c>
      <c r="R21" s="29" t="n">
        <f aca="false">O21+P21+Q21</f>
        <v>631.338750962783</v>
      </c>
      <c r="S21" s="26" t="n">
        <f aca="false">(E21*uDep+H21*uResp)*CycleLength</f>
        <v>0.0460058132791496</v>
      </c>
      <c r="T21" s="26" t="n">
        <f aca="false">(S21+S22)/2</f>
        <v>0.0458953072966825</v>
      </c>
      <c r="U21" s="26" t="n">
        <f aca="false">1/(1+DiscRate)^(B21+CycleLength/2)</f>
        <v>0.949706641899499</v>
      </c>
      <c r="V21" s="29" t="n">
        <f aca="false">R21*U21</f>
        <v>599.586605077889</v>
      </c>
      <c r="W21" s="26" t="n">
        <f aca="false">T21*U21</f>
        <v>0.0435870781716779</v>
      </c>
    </row>
    <row r="22" customFormat="false" ht="15" hidden="false" customHeight="true" outlineLevel="0" collapsed="false">
      <c r="A22" s="25" t="n">
        <f aca="false">A21+1</f>
        <v>20</v>
      </c>
      <c r="B22" s="26" t="n">
        <f aca="false">A22*CycleLength</f>
        <v>1.53846153846154</v>
      </c>
      <c r="C22" s="27" t="n">
        <f aca="false">MAX(0,1-I22-F22-G22-D22)</f>
        <v>0.189572861728144</v>
      </c>
      <c r="D22" s="27" t="n">
        <f aca="false">IF(A22=1, 0, F21*M22*(1-(1-(1-qx)^(1/13)))+D21*(1-pReResp)*(1-(1-(1-qx)^(1/13))))</f>
        <v>0.385258084138043</v>
      </c>
      <c r="E22" s="27" t="n">
        <f aca="false">C22+D22</f>
        <v>0.574830945866188</v>
      </c>
      <c r="F22" s="27" t="n">
        <f aca="false">IF(A22=1, C21*pRespEsk*(1-(1-(1-qx)^(1/13))), MAX(0, F21*(1-M22)*(1-(1-(1-qx)^(1/13)))+D21*pReResp*(1-(1-(1-qx)^(1/13)))))</f>
        <v>0.306036804715132</v>
      </c>
      <c r="G22" s="27" t="n">
        <f aca="false">IF(A22=1, 0, MAX(0, G21*(1-pRelComp)*(1-(1-(1-qx)^(1/13)))+C21*pReResp*(1-(1-(1-qx)^(1/13)))))</f>
        <v>0.116671771573335</v>
      </c>
      <c r="H22" s="27" t="n">
        <f aca="false">F22+G22</f>
        <v>0.422708576288467</v>
      </c>
      <c r="I22" s="27" t="n">
        <f aca="false">I21+(1-I21)*(1-(1-qx)^(1/13))</f>
        <v>0.00246047784534562</v>
      </c>
      <c r="J22" s="27" t="n">
        <f aca="false">E22+H22+I22</f>
        <v>1</v>
      </c>
      <c r="K22" s="27" t="n">
        <f aca="false">F22</f>
        <v>0.306036804715132</v>
      </c>
      <c r="L22" s="27" t="n">
        <f aca="false">IF(A22&lt;TreatCycles,1,MAX(0,L21*(1-Waning)))</f>
        <v>0.142241757136172</v>
      </c>
      <c r="M22" s="27" t="n">
        <f aca="false">pRelEsk+(1-L22)*(pRelComp-pRelEsk)</f>
        <v>0.118966861076956</v>
      </c>
      <c r="N22" s="25" t="n">
        <f aca="false">IF(A22&gt;=TreatCycles,0,IF(A22=1,Sess1,Sess2)*K22)</f>
        <v>0</v>
      </c>
      <c r="O22" s="29" t="n">
        <f aca="false">N22*(PriceSession+AdminSession)</f>
        <v>0</v>
      </c>
      <c r="P22" s="29" t="n">
        <f aca="false">(1-I22)*cOral</f>
        <v>3.99015808861862</v>
      </c>
      <c r="Q22" s="29" t="n">
        <f aca="false">E22*cDep+H22*cResp</f>
        <v>632.658533460172</v>
      </c>
      <c r="R22" s="29" t="n">
        <f aca="false">O22+P22+Q22</f>
        <v>636.648691548791</v>
      </c>
      <c r="S22" s="26" t="n">
        <f aca="false">(E22*uDep+H22*uResp)*CycleLength</f>
        <v>0.0457848013142154</v>
      </c>
      <c r="T22" s="26" t="n">
        <f aca="false">(S22+S23)/2</f>
        <v>0.0456893384705279</v>
      </c>
      <c r="U22" s="26" t="n">
        <f aca="false">1/(1+DiscRate)^(B22+CycleLength/2)</f>
        <v>0.947196790117746</v>
      </c>
      <c r="V22" s="29" t="n">
        <f aca="false">R22*U22</f>
        <v>603.031597067678</v>
      </c>
      <c r="W22" s="26" t="n">
        <f aca="false">T22*U22</f>
        <v>0.0432767947418873</v>
      </c>
    </row>
    <row r="23" customFormat="false" ht="15" hidden="false" customHeight="true" outlineLevel="0" collapsed="false">
      <c r="A23" s="25" t="n">
        <f aca="false">A22+1</f>
        <v>21</v>
      </c>
      <c r="B23" s="26" t="n">
        <f aca="false">A23*CycleLength</f>
        <v>1.61538461538462</v>
      </c>
      <c r="C23" s="27" t="n">
        <f aca="false">MAX(0,1-I23-F23-G23-D23)</f>
        <v>0.189254003873624</v>
      </c>
      <c r="D23" s="27" t="n">
        <f aca="false">IF(A23=1, 0, F22*M23*(1-(1-(1-qx)^(1/13)))+D22*(1-pReResp)*(1-(1-(1-qx)^(1/13))))</f>
        <v>0.391187094339915</v>
      </c>
      <c r="E23" s="27" t="n">
        <f aca="false">C23+D23</f>
        <v>0.580441098213539</v>
      </c>
      <c r="F23" s="27" t="n">
        <f aca="false">IF(A23=1, C22*pRespEsk*(1-(1-(1-qx)^(1/13))), MAX(0, F22*(1-M23)*(1-(1-(1-qx)^(1/13)))+D22*pReResp*(1-(1-(1-qx)^(1/13)))))</f>
        <v>0.30002264917077</v>
      </c>
      <c r="G23" s="27" t="n">
        <f aca="false">IF(A23=1, 0, MAX(0, G22*(1-pRelComp)*(1-(1-(1-qx)^(1/13)))+C22*pReResp*(1-(1-(1-qx)^(1/13)))))</f>
        <v>0.116952909918266</v>
      </c>
      <c r="H23" s="27" t="n">
        <f aca="false">F23+G23</f>
        <v>0.416975559089036</v>
      </c>
      <c r="I23" s="27" t="n">
        <f aca="false">I22+(1-I22)*(1-(1-qx)^(1/13))</f>
        <v>0.00258334269742466</v>
      </c>
      <c r="J23" s="27" t="n">
        <f aca="false">E23+H23+I23</f>
        <v>1</v>
      </c>
      <c r="K23" s="27" t="n">
        <f aca="false">F23</f>
        <v>0.30002264917077</v>
      </c>
      <c r="L23" s="27" t="n">
        <f aca="false">IF(A23&lt;TreatCycles,1,MAX(0,L22*(1-Waning)))</f>
        <v>0.120905493565746</v>
      </c>
      <c r="M23" s="27" t="n">
        <f aca="false">pRelEsk+(1-L23)*(pRelComp-pRelEsk)</f>
        <v>0.120239931915413</v>
      </c>
      <c r="N23" s="25" t="n">
        <f aca="false">IF(A23&gt;=TreatCycles,0,IF(A23=1,Sess1,Sess2)*K23)</f>
        <v>0</v>
      </c>
      <c r="O23" s="29" t="n">
        <f aca="false">N23*(PriceSession+AdminSession)</f>
        <v>0</v>
      </c>
      <c r="P23" s="29" t="n">
        <f aca="false">(1-I23)*cOral</f>
        <v>3.9896666292103</v>
      </c>
      <c r="Q23" s="29" t="n">
        <f aca="false">E23*cDep+H23*cResp</f>
        <v>637.21626793987</v>
      </c>
      <c r="R23" s="29" t="n">
        <f aca="false">O23+P23+Q23</f>
        <v>641.205934569081</v>
      </c>
      <c r="S23" s="26" t="n">
        <f aca="false">(E23*uDep+H23*uResp)*CycleLength</f>
        <v>0.0455938756268404</v>
      </c>
      <c r="T23" s="26" t="n">
        <f aca="false">(S23+S24)/2</f>
        <v>0.0455116560174534</v>
      </c>
      <c r="U23" s="26" t="n">
        <f aca="false">1/(1+DiscRate)^(B23+CycleLength/2)</f>
        <v>0.944693571285252</v>
      </c>
      <c r="V23" s="29" t="n">
        <f aca="false">R23*U23</f>
        <v>605.743124257362</v>
      </c>
      <c r="W23" s="26" t="n">
        <f aca="false">T23*U23</f>
        <v>0.042994568858234</v>
      </c>
    </row>
    <row r="24" customFormat="false" ht="15" hidden="false" customHeight="true" outlineLevel="0" collapsed="false">
      <c r="A24" s="25" t="n">
        <f aca="false">A23+1</f>
        <v>22</v>
      </c>
      <c r="B24" s="26" t="n">
        <f aca="false">A24*CycleLength</f>
        <v>1.69230769230769</v>
      </c>
      <c r="C24" s="27" t="n">
        <f aca="false">MAX(0,1-I24-F24-G24-D24)</f>
        <v>0.188996518571912</v>
      </c>
      <c r="D24" s="27" t="n">
        <f aca="false">IF(A24=1, 0, F23*M24*(1-(1-(1-qx)^(1/13)))+D23*(1-pReResp)*(1-(1-(1-qx)^(1/13))))</f>
        <v>0.39624267688295</v>
      </c>
      <c r="E24" s="27" t="n">
        <f aca="false">C24+D24</f>
        <v>0.585239195454863</v>
      </c>
      <c r="F24" s="27" t="n">
        <f aca="false">IF(A24=1, C23*pRespEsk*(1-(1-(1-qx)^(1/13))), MAX(0, F23*(1-M24)*(1-(1-(1-qx)^(1/13)))+D23*pReResp*(1-(1-(1-qx)^(1/13)))))</f>
        <v>0.294881931772417</v>
      </c>
      <c r="G24" s="27" t="n">
        <f aca="false">IF(A24=1, 0, MAX(0, G23*(1-pRelComp)*(1-(1-(1-qx)^(1/13)))+C23*pReResp*(1-(1-(1-qx)^(1/13)))))</f>
        <v>0.117172680356223</v>
      </c>
      <c r="H24" s="27" t="n">
        <f aca="false">F24+G24</f>
        <v>0.41205461212864</v>
      </c>
      <c r="I24" s="27" t="n">
        <f aca="false">I23+(1-I23)*(1-(1-qx)^(1/13))</f>
        <v>0.0027061924164974</v>
      </c>
      <c r="J24" s="27" t="n">
        <f aca="false">E24+H24+I24</f>
        <v>1</v>
      </c>
      <c r="K24" s="27" t="n">
        <f aca="false">F24</f>
        <v>0.294881931772417</v>
      </c>
      <c r="L24" s="27" t="n">
        <f aca="false">IF(A24&lt;TreatCycles,1,MAX(0,L23*(1-Waning)))</f>
        <v>0.102769669530884</v>
      </c>
      <c r="M24" s="27" t="n">
        <f aca="false">pRelEsk+(1-L24)*(pRelComp-pRelEsk)</f>
        <v>0.121322042128101</v>
      </c>
      <c r="N24" s="25" t="n">
        <f aca="false">IF(A24&gt;=TreatCycles,0,IF(A24=1,Sess1,Sess2)*K24)</f>
        <v>0</v>
      </c>
      <c r="O24" s="29" t="n">
        <f aca="false">N24*(PriceSession+AdminSession)</f>
        <v>0</v>
      </c>
      <c r="P24" s="29" t="n">
        <f aca="false">(1-I24)*cOral</f>
        <v>3.98917523033401</v>
      </c>
      <c r="Q24" s="29" t="n">
        <f aca="false">E24*cDep+H24*cResp</f>
        <v>641.111367934862</v>
      </c>
      <c r="R24" s="29" t="n">
        <f aca="false">O24+P24+Q24</f>
        <v>645.100543165196</v>
      </c>
      <c r="S24" s="26" t="n">
        <f aca="false">(E24*uDep+H24*uResp)*CycleLength</f>
        <v>0.0454294364080664</v>
      </c>
      <c r="T24" s="26" t="n">
        <f aca="false">(S24+S25)/2</f>
        <v>0.045358776061153</v>
      </c>
      <c r="U24" s="26" t="n">
        <f aca="false">1/(1+DiscRate)^(B24+CycleLength/2)</f>
        <v>0.942196967872688</v>
      </c>
      <c r="V24" s="29" t="n">
        <f aca="false">R24*U24</f>
        <v>607.811775743272</v>
      </c>
      <c r="W24" s="26" t="n">
        <f aca="false">T24*U24</f>
        <v>0.0427369012712346</v>
      </c>
    </row>
    <row r="25" customFormat="false" ht="15" hidden="false" customHeight="true" outlineLevel="0" collapsed="false">
      <c r="A25" s="25" t="n">
        <f aca="false">A24+1</f>
        <v>23</v>
      </c>
      <c r="B25" s="26" t="n">
        <f aca="false">A25*CycleLength</f>
        <v>1.76923076923077</v>
      </c>
      <c r="C25" s="27" t="n">
        <f aca="false">MAX(0,1-I25-F25-G25-D25)</f>
        <v>0.188787668442538</v>
      </c>
      <c r="D25" s="27" t="n">
        <f aca="false">IF(A25=1, 0, F24*M25*(1-(1-(1-qx)^(1/13)))+D24*(1-pReResp)*(1-(1-(1-qx)^(1/13))))</f>
        <v>0.400540831567277</v>
      </c>
      <c r="E25" s="27" t="n">
        <f aca="false">C25+D25</f>
        <v>0.589328500009815</v>
      </c>
      <c r="F25" s="27" t="n">
        <f aca="false">IF(A25=1, C24*pRespEsk*(1-(1-(1-qx)^(1/13))), MAX(0, F24*(1-M25)*(1-(1-(1-qx)^(1/13)))+D24*pReResp*(1-(1-(1-qx)^(1/13)))))</f>
        <v>0.290498652718654</v>
      </c>
      <c r="G25" s="27" t="n">
        <f aca="false">IF(A25=1, 0, MAX(0, G24*(1-pRelComp)*(1-(1-(1-qx)^(1/13)))+C24*pReResp*(1-(1-(1-qx)^(1/13)))))</f>
        <v>0.117343820267103</v>
      </c>
      <c r="H25" s="27" t="n">
        <f aca="false">F25+G25</f>
        <v>0.407842472985757</v>
      </c>
      <c r="I25" s="27" t="n">
        <f aca="false">I24+(1-I24)*(1-(1-qx)^(1/13))</f>
        <v>0.00282902700442774</v>
      </c>
      <c r="J25" s="27" t="n">
        <f aca="false">E25+H25+I25</f>
        <v>1</v>
      </c>
      <c r="K25" s="27" t="n">
        <f aca="false">F25</f>
        <v>0.290498652718654</v>
      </c>
      <c r="L25" s="27" t="n">
        <f aca="false">IF(A25&lt;TreatCycles,1,MAX(0,L24*(1-Waning)))</f>
        <v>0.0873542191012516</v>
      </c>
      <c r="M25" s="27" t="n">
        <f aca="false">pRelEsk+(1-L25)*(pRelComp-pRelEsk)</f>
        <v>0.122241835808886</v>
      </c>
      <c r="N25" s="25" t="n">
        <f aca="false">IF(A25&gt;=TreatCycles,0,IF(A25=1,Sess1,Sess2)*K25)</f>
        <v>0</v>
      </c>
      <c r="O25" s="29" t="n">
        <f aca="false">N25*(PriceSession+AdminSession)</f>
        <v>0</v>
      </c>
      <c r="P25" s="29" t="n">
        <f aca="false">(1-I25)*cOral</f>
        <v>3.98868389198229</v>
      </c>
      <c r="Q25" s="29" t="n">
        <f aca="false">E25*cDep+H25*cResp</f>
        <v>644.428095579283</v>
      </c>
      <c r="R25" s="29" t="n">
        <f aca="false">O25+P25+Q25</f>
        <v>648.416779471265</v>
      </c>
      <c r="S25" s="26" t="n">
        <f aca="false">(E25*uDep+H25*uResp)*CycleLength</f>
        <v>0.0452881157142396</v>
      </c>
      <c r="T25" s="26" t="n">
        <f aca="false">(S25+S26)/2</f>
        <v>0.0452274762979039</v>
      </c>
      <c r="U25" s="26" t="n">
        <f aca="false">1/(1+DiscRate)^(B25+CycleLength/2)</f>
        <v>0.939706962397052</v>
      </c>
      <c r="V25" s="29" t="n">
        <f aca="false">R25*U25</f>
        <v>609.321762204222</v>
      </c>
      <c r="W25" s="26" t="n">
        <f aca="false">T25*U25</f>
        <v>0.042500574368788</v>
      </c>
    </row>
    <row r="26" customFormat="false" ht="15" hidden="false" customHeight="true" outlineLevel="0" collapsed="false">
      <c r="A26" s="25" t="n">
        <f aca="false">A25+1</f>
        <v>24</v>
      </c>
      <c r="B26" s="26" t="n">
        <f aca="false">A26*CycleLength</f>
        <v>1.84615384615385</v>
      </c>
      <c r="C26" s="27" t="n">
        <f aca="false">MAX(0,1-I26-F26-G26-D26)</f>
        <v>0.188617359768861</v>
      </c>
      <c r="D26" s="27" t="n">
        <f aca="false">IF(A26=1, 0, F25*M26*(1-(1-(1-qx)^(1/13)))+D25*(1-pReResp)*(1-(1-(1-qx)^(1/13))))</f>
        <v>0.404185983778691</v>
      </c>
      <c r="E26" s="27" t="n">
        <f aca="false">C26+D26</f>
        <v>0.592803343547552</v>
      </c>
      <c r="F26" s="27" t="n">
        <f aca="false">IF(A26=1, C25*pRespEsk*(1-(1-(1-qx)^(1/13))), MAX(0, F25*(1-M26)*(1-(1-(1-qx)^(1/13)))+D25*pReResp*(1-(1-(1-qx)^(1/13)))))</f>
        <v>0.286768386622395</v>
      </c>
      <c r="G26" s="27" t="n">
        <f aca="false">IF(A26=1, 0, MAX(0, G25*(1-pRelComp)*(1-(1-(1-qx)^(1/13)))+C25*pReResp*(1-(1-(1-qx)^(1/13)))))</f>
        <v>0.117476423366974</v>
      </c>
      <c r="H26" s="27" t="n">
        <f aca="false">F26+G26</f>
        <v>0.404244809989369</v>
      </c>
      <c r="I26" s="27" t="n">
        <f aca="false">I25+(1-I25)*(1-(1-qx)^(1/13))</f>
        <v>0.00295184646307934</v>
      </c>
      <c r="J26" s="27" t="n">
        <f aca="false">E26+H26+I26</f>
        <v>1</v>
      </c>
      <c r="K26" s="27" t="n">
        <f aca="false">F26</f>
        <v>0.286768386622395</v>
      </c>
      <c r="L26" s="27" t="n">
        <f aca="false">IF(A26&lt;TreatCycles,1,MAX(0,L25*(1-Waning)))</f>
        <v>0.0742510862360639</v>
      </c>
      <c r="M26" s="27" t="n">
        <f aca="false">pRelEsk+(1-L26)*(pRelComp-pRelEsk)</f>
        <v>0.123023660437553</v>
      </c>
      <c r="N26" s="25" t="n">
        <f aca="false">IF(A26&gt;=TreatCycles,0,IF(A26=1,Sess1,Sess2)*K26)</f>
        <v>0</v>
      </c>
      <c r="O26" s="29" t="n">
        <f aca="false">N26*(PriceSession+AdminSession)</f>
        <v>0</v>
      </c>
      <c r="P26" s="29" t="n">
        <f aca="false">(1-I26)*cOral</f>
        <v>3.98819261414768</v>
      </c>
      <c r="Q26" s="29" t="n">
        <f aca="false">E26*cDep+H26*cResp</f>
        <v>647.243425514857</v>
      </c>
      <c r="R26" s="29" t="n">
        <f aca="false">O26+P26+Q26</f>
        <v>651.231618129005</v>
      </c>
      <c r="S26" s="26" t="n">
        <f aca="false">(E26*uDep+H26*uResp)*CycleLength</f>
        <v>0.0451668368815683</v>
      </c>
      <c r="T26" s="26" t="n">
        <f aca="false">(S26+S27)/2</f>
        <v>0.0451148375784589</v>
      </c>
      <c r="U26" s="26" t="n">
        <f aca="false">1/(1+DiscRate)^(B26+CycleLength/2)</f>
        <v>0.937223537421545</v>
      </c>
      <c r="V26" s="29" t="n">
        <f aca="false">R26*U26</f>
        <v>610.349600823623</v>
      </c>
      <c r="W26" s="26" t="n">
        <f aca="false">T26*U26</f>
        <v>0.0422826876654817</v>
      </c>
    </row>
    <row r="27" customFormat="false" ht="15" hidden="false" customHeight="true" outlineLevel="0" collapsed="false">
      <c r="A27" s="25" t="n">
        <f aca="false">A26+1</f>
        <v>25</v>
      </c>
      <c r="B27" s="26" t="n">
        <f aca="false">A27*CycleLength</f>
        <v>1.92307692307692</v>
      </c>
      <c r="C27" s="27" t="n">
        <f aca="false">MAX(0,1-I27-F27-G27-D27)</f>
        <v>0.188477593801371</v>
      </c>
      <c r="D27" s="27" t="n">
        <f aca="false">IF(A27=1, 0, F26*M27*(1-(1-(1-qx)^(1/13)))+D26*(1-pReResp)*(1-(1-(1-qx)^(1/13))))</f>
        <v>0.40727080502513</v>
      </c>
      <c r="E27" s="27" t="n">
        <f aca="false">C27+D27</f>
        <v>0.595748398826501</v>
      </c>
      <c r="F27" s="27" t="n">
        <f aca="false">IF(A27=1, C26*pRespEsk*(1-(1-(1-qx)^(1/13))), MAX(0, F26*(1-M27)*(1-(1-(1-qx)^(1/13)))+D26*pReResp*(1-(1-(1-qx)^(1/13)))))</f>
        <v>0.283598461974409</v>
      </c>
      <c r="G27" s="27" t="n">
        <f aca="false">IF(A27=1, 0, MAX(0, G26*(1-pRelComp)*(1-(1-(1-qx)^(1/13)))+C26*pReResp*(1-(1-(1-qx)^(1/13)))))</f>
        <v>0.117578488404774</v>
      </c>
      <c r="H27" s="27" t="n">
        <f aca="false">F27+G27</f>
        <v>0.401176950379184</v>
      </c>
      <c r="I27" s="27" t="n">
        <f aca="false">I26+(1-I26)*(1-(1-qx)^(1/13))</f>
        <v>0.00307465079431566</v>
      </c>
      <c r="J27" s="27" t="n">
        <f aca="false">E27+H27+I27</f>
        <v>1</v>
      </c>
      <c r="K27" s="27" t="n">
        <f aca="false">F27</f>
        <v>0.283598461974409</v>
      </c>
      <c r="L27" s="27" t="n">
        <f aca="false">IF(A27&lt;TreatCycles,1,MAX(0,L26*(1-Waning)))</f>
        <v>0.0631134233006543</v>
      </c>
      <c r="M27" s="27" t="n">
        <f aca="false">pRelEsk+(1-L27)*(pRelComp-pRelEsk)</f>
        <v>0.12368821137192</v>
      </c>
      <c r="N27" s="25" t="n">
        <f aca="false">IF(A27&gt;=TreatCycles,0,IF(A27=1,Sess1,Sess2)*K27)</f>
        <v>0</v>
      </c>
      <c r="O27" s="29" t="n">
        <f aca="false">N27*(PriceSession+AdminSession)</f>
        <v>0</v>
      </c>
      <c r="P27" s="29" t="n">
        <f aca="false">(1-I27)*cOral</f>
        <v>3.98770139682274</v>
      </c>
      <c r="Q27" s="29" t="n">
        <f aca="false">E27*cDep+H27*cResp</f>
        <v>649.626450712157</v>
      </c>
      <c r="R27" s="29" t="n">
        <f aca="false">O27+P27+Q27</f>
        <v>653.61415210898</v>
      </c>
      <c r="S27" s="26" t="n">
        <f aca="false">(E27*uDep+H27*uResp)*CycleLength</f>
        <v>0.0450628382753495</v>
      </c>
      <c r="T27" s="26" t="n">
        <f aca="false">(S27+S28)/2</f>
        <v>0.0450182560224307</v>
      </c>
      <c r="U27" s="26" t="n">
        <f aca="false">1/(1+DiscRate)^(B27+CycleLength/2)</f>
        <v>0.93474667555545</v>
      </c>
      <c r="V27" s="29" t="n">
        <f aca="false">R27*U27</f>
        <v>610.963655779863</v>
      </c>
      <c r="W27" s="26" t="n">
        <f aca="false">T27*U27</f>
        <v>0.0420806651562713</v>
      </c>
    </row>
    <row r="28" customFormat="false" ht="15" hidden="false" customHeight="true" outlineLevel="0" collapsed="false">
      <c r="A28" s="25" t="n">
        <f aca="false">A27+1</f>
        <v>26</v>
      </c>
      <c r="B28" s="26" t="n">
        <f aca="false">A28*CycleLength</f>
        <v>2</v>
      </c>
      <c r="C28" s="27" t="n">
        <f aca="false">MAX(0,1-I28-F28-G28-D28)</f>
        <v>0.188362031943873</v>
      </c>
      <c r="D28" s="27" t="n">
        <f aca="false">IF(A28=1, 0, F27*M28*(1-(1-(1-qx)^(1/13)))+D27*(1-pReResp)*(1-(1-(1-qx)^(1/13))))</f>
        <v>0.409876633047505</v>
      </c>
      <c r="E28" s="27" t="n">
        <f aca="false">C28+D28</f>
        <v>0.598238664991379</v>
      </c>
      <c r="F28" s="27" t="n">
        <f aca="false">IF(A28=1, C27*pRespEsk*(1-(1-(1-qx)^(1/13))), MAX(0, F27*(1-M28)*(1-(1-(1-qx)^(1/13)))+D27*pReResp*(1-(1-(1-qx)^(1/13)))))</f>
        <v>0.280907541032495</v>
      </c>
      <c r="G28" s="27" t="n">
        <f aca="false">IF(A28=1, 0, MAX(0, G27*(1-pRelComp)*(1-(1-(1-qx)^(1/13)))+C27*pReResp*(1-(1-(1-qx)^(1/13)))))</f>
        <v>0.117656353976127</v>
      </c>
      <c r="H28" s="27" t="n">
        <f aca="false">F28+G28</f>
        <v>0.398563895008622</v>
      </c>
      <c r="I28" s="27" t="n">
        <f aca="false">I27+(1-I27)*(1-(1-qx)^(1/13))</f>
        <v>0.0031974399999999</v>
      </c>
      <c r="J28" s="27" t="n">
        <f aca="false">E28+H28+I28</f>
        <v>1</v>
      </c>
      <c r="K28" s="27" t="n">
        <f aca="false">F28</f>
        <v>0.280907541032495</v>
      </c>
      <c r="L28" s="27" t="n">
        <f aca="false">IF(A28&lt;TreatCycles,1,MAX(0,L27*(1-Waning)))</f>
        <v>0.0536464098055562</v>
      </c>
      <c r="M28" s="27" t="n">
        <f aca="false">pRelEsk+(1-L28)*(pRelComp-pRelEsk)</f>
        <v>0.124253079666132</v>
      </c>
      <c r="N28" s="25" t="n">
        <f aca="false">IF(A28&gt;=TreatCycles,0,IF(A28=1,Sess1,Sess2)*K28)</f>
        <v>0</v>
      </c>
      <c r="O28" s="29" t="n">
        <f aca="false">N28*(PriceSession+AdminSession)</f>
        <v>0</v>
      </c>
      <c r="P28" s="29" t="n">
        <f aca="false">(1-I28)*cOral</f>
        <v>3.98721024</v>
      </c>
      <c r="Q28" s="29" t="n">
        <f aca="false">E28*cDep+H28*cResp</f>
        <v>651.638370472965</v>
      </c>
      <c r="R28" s="29" t="n">
        <f aca="false">O28+P28+Q28</f>
        <v>655.625580712965</v>
      </c>
      <c r="S28" s="26" t="n">
        <f aca="false">(E28*uDep+H28*uResp)*CycleLength</f>
        <v>0.044973673769512</v>
      </c>
      <c r="T28" s="26" t="n">
        <f aca="false">(S28+S29)/2</f>
        <v>0.0449354362960276</v>
      </c>
      <c r="U28" s="26" t="n">
        <f aca="false">1/(1+DiscRate)^(B28+CycleLength/2)</f>
        <v>0.932276359454009</v>
      </c>
      <c r="V28" s="29" t="n">
        <f aca="false">R28*U28</f>
        <v>611.224229552003</v>
      </c>
      <c r="W28" s="26" t="n">
        <f aca="false">T28*U28</f>
        <v>0.0418922449605382</v>
      </c>
    </row>
    <row r="29" customFormat="false" ht="15" hidden="false" customHeight="true" outlineLevel="0" collapsed="false">
      <c r="A29" s="25" t="n">
        <f aca="false">A28+1</f>
        <v>27</v>
      </c>
      <c r="B29" s="26" t="n">
        <f aca="false">A29*CycleLength</f>
        <v>2.07692307692308</v>
      </c>
      <c r="C29" s="27" t="n">
        <f aca="false">MAX(0,1-I29-F29-G29-D29)</f>
        <v>0.188265651185985</v>
      </c>
      <c r="D29" s="27" t="n">
        <f aca="false">IF(A29=1, 0, F28*M29*(1-(1-(1-qx)^(1/13)))+D28*(1-pReResp)*(1-(1-(1-qx)^(1/13))))</f>
        <v>0.412074243304532</v>
      </c>
      <c r="E29" s="27" t="n">
        <f aca="false">C29+D29</f>
        <v>0.600339894490517</v>
      </c>
      <c r="F29" s="27" t="n">
        <f aca="false">IF(A29=1, C28*pRespEsk*(1-(1-(1-qx)^(1/13))), MAX(0, F28*(1-M29)*(1-(1-(1-qx)^(1/13)))+D28*pReResp*(1-(1-(1-qx)^(1/13)))))</f>
        <v>0.278624848336645</v>
      </c>
      <c r="G29" s="27" t="n">
        <f aca="false">IF(A29=1, 0, MAX(0, G28*(1-pRelComp)*(1-(1-(1-qx)^(1/13)))+C28*pReResp*(1-(1-(1-qx)^(1/13)))))</f>
        <v>0.117715043090843</v>
      </c>
      <c r="H29" s="27" t="n">
        <f aca="false">F29+G29</f>
        <v>0.396339891427488</v>
      </c>
      <c r="I29" s="27" t="n">
        <f aca="false">I28+(1-I28)*(1-(1-qx)^(1/13))</f>
        <v>0.00332021408199504</v>
      </c>
      <c r="J29" s="27" t="n">
        <f aca="false">E29+H29+I29</f>
        <v>1</v>
      </c>
      <c r="K29" s="27" t="n">
        <f aca="false">F29</f>
        <v>0.278624848336645</v>
      </c>
      <c r="L29" s="27" t="n">
        <f aca="false">IF(A29&lt;TreatCycles,1,MAX(0,L28*(1-Waning)))</f>
        <v>0.0455994483347227</v>
      </c>
      <c r="M29" s="27" t="n">
        <f aca="false">pRelEsk+(1-L29)*(pRelComp-pRelEsk)</f>
        <v>0.124733217716212</v>
      </c>
      <c r="N29" s="25" t="n">
        <f aca="false">IF(A29&gt;=TreatCycles,0,IF(A29=1,Sess1,Sess2)*K29)</f>
        <v>0</v>
      </c>
      <c r="O29" s="29" t="n">
        <f aca="false">N29*(PriceSession+AdminSession)</f>
        <v>0</v>
      </c>
      <c r="P29" s="29" t="n">
        <f aca="false">(1-I29)*cOral</f>
        <v>3.98671914367202</v>
      </c>
      <c r="Q29" s="29" t="n">
        <f aca="false">E29*cDep+H29*cResp</f>
        <v>653.332838794815</v>
      </c>
      <c r="R29" s="29" t="n">
        <f aca="false">O29+P29+Q29</f>
        <v>657.319557938487</v>
      </c>
      <c r="S29" s="26" t="n">
        <f aca="false">(E29*uDep+H29*uResp)*CycleLength</f>
        <v>0.0448971988225433</v>
      </c>
      <c r="T29" s="26" t="n">
        <f aca="false">(S29+S30)/2</f>
        <v>0.0448643735805737</v>
      </c>
      <c r="U29" s="26" t="n">
        <f aca="false">1/(1+DiscRate)^(B29+CycleLength/2)</f>
        <v>0.929812571818301</v>
      </c>
      <c r="V29" s="29" t="n">
        <f aca="false">R29*U29</f>
        <v>611.183988673253</v>
      </c>
      <c r="W29" s="26" t="n">
        <f aca="false">T29*U29</f>
        <v>0.0417154585819702</v>
      </c>
    </row>
    <row r="30" customFormat="false" ht="15" hidden="false" customHeight="true" outlineLevel="0" collapsed="false">
      <c r="A30" s="25" t="n">
        <f aca="false">A29+1</f>
        <v>28</v>
      </c>
      <c r="B30" s="26" t="n">
        <f aca="false">A30*CycleLength</f>
        <v>2.15384615384615</v>
      </c>
      <c r="C30" s="27" t="n">
        <f aca="false">MAX(0,1-I30-F30-G30-D30)</f>
        <v>0.188184471051173</v>
      </c>
      <c r="D30" s="27" t="n">
        <f aca="false">IF(A30=1, 0, F29*M30*(1-(1-(1-qx)^(1/13)))+D29*(1-pReResp)*(1-(1-(1-qx)^(1/13))))</f>
        <v>0.413924800811297</v>
      </c>
      <c r="E30" s="27" t="n">
        <f aca="false">C30+D30</f>
        <v>0.60210927186247</v>
      </c>
      <c r="F30" s="27" t="n">
        <f aca="false">IF(A30=1, C29*pRespEsk*(1-(1-(1-qx)^(1/13))), MAX(0, F29*(1-M30)*(1-(1-(1-qx)^(1/13)))+D29*pReResp*(1-(1-(1-qx)^(1/13)))))</f>
        <v>0.276689218870484</v>
      </c>
      <c r="G30" s="27" t="n">
        <f aca="false">IF(A30=1, 0, MAX(0, G29*(1-pRelComp)*(1-(1-(1-qx)^(1/13)))+C29*pReResp*(1-(1-(1-qx)^(1/13)))))</f>
        <v>0.117758536224883</v>
      </c>
      <c r="H30" s="27" t="n">
        <f aca="false">F30+G30</f>
        <v>0.394447755095367</v>
      </c>
      <c r="I30" s="27" t="n">
        <f aca="false">I29+(1-I29)*(1-(1-qx)^(1/13))</f>
        <v>0.00344297304216384</v>
      </c>
      <c r="J30" s="27" t="n">
        <f aca="false">E30+H30+I30</f>
        <v>1</v>
      </c>
      <c r="K30" s="27" t="n">
        <f aca="false">F30</f>
        <v>0.276689218870484</v>
      </c>
      <c r="L30" s="27" t="n">
        <f aca="false">IF(A30&lt;TreatCycles,1,MAX(0,L29*(1-Waning)))</f>
        <v>0.0387595310845143</v>
      </c>
      <c r="M30" s="27" t="n">
        <f aca="false">pRelEsk+(1-L30)*(pRelComp-pRelEsk)</f>
        <v>0.12514133505878</v>
      </c>
      <c r="N30" s="25" t="n">
        <f aca="false">IF(A30&gt;=TreatCycles,0,IF(A30=1,Sess1,Sess2)*K30)</f>
        <v>0</v>
      </c>
      <c r="O30" s="29" t="n">
        <f aca="false">N30*(PriceSession+AdminSession)</f>
        <v>0</v>
      </c>
      <c r="P30" s="29" t="n">
        <f aca="false">(1-I30)*cOral</f>
        <v>3.98622810783134</v>
      </c>
      <c r="Q30" s="29" t="n">
        <f aca="false">E30*cDep+H30*cResp</f>
        <v>654.75651826086</v>
      </c>
      <c r="R30" s="29" t="n">
        <f aca="false">O30+P30+Q30</f>
        <v>658.742746368692</v>
      </c>
      <c r="S30" s="26" t="n">
        <f aca="false">(E30*uDep+H30*uResp)*CycleLength</f>
        <v>0.0448315483386041</v>
      </c>
      <c r="T30" s="26" t="n">
        <f aca="false">(S30+S31)/2</f>
        <v>0.0448033294295294</v>
      </c>
      <c r="U30" s="26" t="n">
        <f aca="false">1/(1+DiscRate)^(B30+CycleLength/2)</f>
        <v>0.927355295395124</v>
      </c>
      <c r="V30" s="29" t="n">
        <f aca="false">R30*U30</f>
        <v>610.888574148133</v>
      </c>
      <c r="W30" s="26" t="n">
        <f aca="false">T30*U30</f>
        <v>0.0415486047978063</v>
      </c>
    </row>
    <row r="31" customFormat="false" ht="15" hidden="false" customHeight="true" outlineLevel="0" collapsed="false">
      <c r="A31" s="25" t="n">
        <f aca="false">A30+1</f>
        <v>29</v>
      </c>
      <c r="B31" s="26" t="n">
        <f aca="false">A31*CycleLength</f>
        <v>2.23076923076923</v>
      </c>
      <c r="C31" s="27" t="n">
        <f aca="false">MAX(0,1-I31-F31-G31-D31)</f>
        <v>0.18811533721717</v>
      </c>
      <c r="D31" s="27" t="n">
        <f aca="false">IF(A31=1, 0, F30*M31*(1-(1-(1-qx)^(1/13)))+D30*(1-pReResp)*(1-(1-(1-qx)^(1/13))))</f>
        <v>0.415480878197961</v>
      </c>
      <c r="E31" s="27" t="n">
        <f aca="false">C31+D31</f>
        <v>0.603596215415131</v>
      </c>
      <c r="F31" s="27" t="n">
        <f aca="false">IF(A31=1, C30*pRespEsk*(1-(1-(1-qx)^(1/13))), MAX(0, F30*(1-M31)*(1-(1-(1-qx)^(1/13)))+D30*pReResp*(1-(1-(1-qx)^(1/13)))))</f>
        <v>0.275048080002558</v>
      </c>
      <c r="G31" s="27" t="n">
        <f aca="false">IF(A31=1, 0, MAX(0, G30*(1-pRelComp)*(1-(1-(1-qx)^(1/13)))+C30*pReResp*(1-(1-(1-qx)^(1/13)))))</f>
        <v>0.117789987699942</v>
      </c>
      <c r="H31" s="27" t="n">
        <f aca="false">F31+G31</f>
        <v>0.3928380677025</v>
      </c>
      <c r="I31" s="27" t="n">
        <f aca="false">I30+(1-I30)*(1-(1-qx)^(1/13))</f>
        <v>0.00356571688236883</v>
      </c>
      <c r="J31" s="27" t="n">
        <f aca="false">E31+H31+I31</f>
        <v>1</v>
      </c>
      <c r="K31" s="27" t="n">
        <f aca="false">F31</f>
        <v>0.275048080002558</v>
      </c>
      <c r="L31" s="27" t="n">
        <f aca="false">IF(A31&lt;TreatCycles,1,MAX(0,L30*(1-Waning)))</f>
        <v>0.0329456014218372</v>
      </c>
      <c r="M31" s="27" t="n">
        <f aca="false">pRelEsk+(1-L31)*(pRelComp-pRelEsk)</f>
        <v>0.125488234799963</v>
      </c>
      <c r="N31" s="25" t="n">
        <f aca="false">IF(A31&gt;=TreatCycles,0,IF(A31=1,Sess1,Sess2)*K31)</f>
        <v>0</v>
      </c>
      <c r="O31" s="29" t="n">
        <f aca="false">N31*(PriceSession+AdminSession)</f>
        <v>0</v>
      </c>
      <c r="P31" s="29" t="n">
        <f aca="false">(1-I31)*cOral</f>
        <v>3.98573713247052</v>
      </c>
      <c r="Q31" s="29" t="n">
        <f aca="false">E31*cDep+H31*cResp</f>
        <v>655.949734210038</v>
      </c>
      <c r="R31" s="29" t="n">
        <f aca="false">O31+P31+Q31</f>
        <v>659.935471342509</v>
      </c>
      <c r="S31" s="26" t="n">
        <f aca="false">(E31*uDep+H31*uResp)*CycleLength</f>
        <v>0.0447751105204548</v>
      </c>
      <c r="T31" s="26" t="n">
        <f aca="false">(S31+S32)/2</f>
        <v>0.0447508050024188</v>
      </c>
      <c r="U31" s="26" t="n">
        <f aca="false">1/(1+DiscRate)^(B31+CycleLength/2)</f>
        <v>0.924904512976871</v>
      </c>
      <c r="V31" s="29" t="n">
        <f aca="false">R31*U31</f>
        <v>610.377295718205</v>
      </c>
      <c r="W31" s="26" t="n">
        <f aca="false">T31*U31</f>
        <v>0.0413902215060851</v>
      </c>
    </row>
    <row r="32" customFormat="false" ht="15" hidden="false" customHeight="true" outlineLevel="0" collapsed="false">
      <c r="A32" s="25" t="n">
        <f aca="false">A31+1</f>
        <v>30</v>
      </c>
      <c r="B32" s="26" t="n">
        <f aca="false">A32*CycleLength</f>
        <v>2.30769230769231</v>
      </c>
      <c r="C32" s="27" t="n">
        <f aca="false">MAX(0,1-I32-F32-G32-D32)</f>
        <v>0.188055750046321</v>
      </c>
      <c r="D32" s="27" t="n">
        <f aca="false">IF(A32=1, 0, F31*M32*(1-(1-(1-qx)^(1/13)))+D31*(1-pReResp)*(1-(1-(1-qx)^(1/13))))</f>
        <v>0.416787466816089</v>
      </c>
      <c r="E32" s="27" t="n">
        <f aca="false">C32+D32</f>
        <v>0.604843216862411</v>
      </c>
      <c r="F32" s="27" t="n">
        <f aca="false">IF(A32=1, C31*pRespEsk*(1-(1-(1-qx)^(1/13))), MAX(0, F31*(1-M32)*(1-(1-(1-qx)^(1/13)))+D31*pReResp*(1-(1-(1-qx)^(1/13)))))</f>
        <v>0.273656440380011</v>
      </c>
      <c r="G32" s="27" t="n">
        <f aca="false">IF(A32=1, 0, MAX(0, G31*(1-pRelComp)*(1-(1-(1-qx)^(1/13)))+C31*pReResp*(1-(1-(1-qx)^(1/13)))))</f>
        <v>0.117811897153106</v>
      </c>
      <c r="H32" s="27" t="n">
        <f aca="false">F32+G32</f>
        <v>0.391468337533117</v>
      </c>
      <c r="I32" s="27" t="n">
        <f aca="false">I31+(1-I31)*(1-(1-qx)^(1/13))</f>
        <v>0.00368844560447228</v>
      </c>
      <c r="J32" s="27" t="n">
        <f aca="false">E32+H32+I32</f>
        <v>1</v>
      </c>
      <c r="K32" s="27" t="n">
        <f aca="false">F32</f>
        <v>0.273656440380011</v>
      </c>
      <c r="L32" s="27" t="n">
        <f aca="false">IF(A32&lt;TreatCycles,1,MAX(0,L31*(1-Waning)))</f>
        <v>0.0280037612085616</v>
      </c>
      <c r="M32" s="27" t="n">
        <f aca="false">pRelEsk+(1-L32)*(pRelComp-pRelEsk)</f>
        <v>0.125783099579969</v>
      </c>
      <c r="N32" s="25" t="n">
        <f aca="false">IF(A32&gt;=TreatCycles,0,IF(A32=1,Sess1,Sess2)*K32)</f>
        <v>0</v>
      </c>
      <c r="O32" s="29" t="n">
        <f aca="false">N32*(PriceSession+AdminSession)</f>
        <v>0</v>
      </c>
      <c r="P32" s="29" t="n">
        <f aca="false">(1-I32)*cOral</f>
        <v>3.98524621758211</v>
      </c>
      <c r="Q32" s="29" t="n">
        <f aca="false">E32*cDep+H32*cResp</f>
        <v>656.947159880594</v>
      </c>
      <c r="R32" s="29" t="n">
        <f aca="false">O32+P32+Q32</f>
        <v>660.932406098176</v>
      </c>
      <c r="S32" s="26" t="n">
        <f aca="false">(E32*uDep+H32*uResp)*CycleLength</f>
        <v>0.0447264994843828</v>
      </c>
      <c r="T32" s="26" t="n">
        <f aca="false">(S32+S33)/2</f>
        <v>0.0447055139357997</v>
      </c>
      <c r="U32" s="26" t="n">
        <f aca="false">1/(1+DiscRate)^(B32+CycleLength/2)</f>
        <v>0.922460207401411</v>
      </c>
      <c r="V32" s="29" t="n">
        <f aca="false">R32*U32</f>
        <v>609.683844407637</v>
      </c>
      <c r="W32" s="26" t="n">
        <f aca="false">T32*U32</f>
        <v>0.0412390576572044</v>
      </c>
    </row>
    <row r="33" customFormat="false" ht="15" hidden="false" customHeight="true" outlineLevel="0" collapsed="false">
      <c r="A33" s="25" t="n">
        <f aca="false">A32+1</f>
        <v>31</v>
      </c>
      <c r="B33" s="26" t="n">
        <f aca="false">A33*CycleLength</f>
        <v>2.38461538461538</v>
      </c>
      <c r="C33" s="27" t="n">
        <f aca="false">MAX(0,1-I33-F33-G33-D33)</f>
        <v>0.188003728704732</v>
      </c>
      <c r="D33" s="27" t="n">
        <f aca="false">IF(A33=1, 0, F32*M33*(1-(1-(1-qx)^(1/13)))+D32*(1-pReResp)*(1-(1-(1-qx)^(1/13))))</f>
        <v>0.41788293655539</v>
      </c>
      <c r="E33" s="27" t="n">
        <f aca="false">C33+D33</f>
        <v>0.605886665260122</v>
      </c>
      <c r="F33" s="27" t="n">
        <f aca="false">IF(A33=1, C32*pRespEsk*(1-(1-(1-qx)^(1/13))), MAX(0, F32*(1-M33)*(1-(1-(1-qx)^(1/13)))+D32*pReResp*(1-(1-(1-qx)^(1/13)))))</f>
        <v>0.272475930111848</v>
      </c>
      <c r="G33" s="27" t="n">
        <f aca="false">IF(A33=1, 0, MAX(0, G32*(1-pRelComp)*(1-(1-(1-qx)^(1/13)))+C32*pReResp*(1-(1-(1-qx)^(1/13)))))</f>
        <v>0.117826245417694</v>
      </c>
      <c r="H33" s="27" t="n">
        <f aca="false">F33+G33</f>
        <v>0.390302175529542</v>
      </c>
      <c r="I33" s="27" t="n">
        <f aca="false">I32+(1-I32)*(1-(1-qx)^(1/13))</f>
        <v>0.00381115921033628</v>
      </c>
      <c r="J33" s="27" t="n">
        <f aca="false">E33+H33+I33</f>
        <v>1</v>
      </c>
      <c r="K33" s="27" t="n">
        <f aca="false">F33</f>
        <v>0.272475930111848</v>
      </c>
      <c r="L33" s="27" t="n">
        <f aca="false">IF(A33&lt;TreatCycles,1,MAX(0,L32*(1-Waning)))</f>
        <v>0.0238031970272774</v>
      </c>
      <c r="M33" s="27" t="n">
        <f aca="false">pRelEsk+(1-L33)*(pRelComp-pRelEsk)</f>
        <v>0.126033734642973</v>
      </c>
      <c r="N33" s="25" t="n">
        <f aca="false">IF(A33&gt;=TreatCycles,0,IF(A33=1,Sess1,Sess2)*K33)</f>
        <v>0</v>
      </c>
      <c r="O33" s="29" t="n">
        <f aca="false">N33*(PriceSession+AdminSession)</f>
        <v>0</v>
      </c>
      <c r="P33" s="29" t="n">
        <f aca="false">(1-I33)*cOral</f>
        <v>3.98475536315866</v>
      </c>
      <c r="Q33" s="29" t="n">
        <f aca="false">E33*cDep+H33*cResp</f>
        <v>657.778488741764</v>
      </c>
      <c r="R33" s="29" t="n">
        <f aca="false">O33+P33+Q33</f>
        <v>661.763244104923</v>
      </c>
      <c r="S33" s="26" t="n">
        <f aca="false">(E33*uDep+H33*uResp)*CycleLength</f>
        <v>0.0446845283872166</v>
      </c>
      <c r="T33" s="26" t="n">
        <f aca="false">(S33+S34)/2</f>
        <v>0.0446663562465029</v>
      </c>
      <c r="U33" s="26" t="n">
        <f aca="false">1/(1+DiscRate)^(B33+CycleLength/2)</f>
        <v>0.920022361551968</v>
      </c>
      <c r="V33" s="29" t="n">
        <f aca="false">R33*U33</f>
        <v>608.836982629703</v>
      </c>
      <c r="W33" s="26" t="n">
        <f aca="false">T33*U33</f>
        <v>0.0410940465558291</v>
      </c>
    </row>
    <row r="34" customFormat="false" ht="15" hidden="false" customHeight="true" outlineLevel="0" collapsed="false">
      <c r="A34" s="25" t="n">
        <f aca="false">A33+1</f>
        <v>32</v>
      </c>
      <c r="B34" s="26" t="n">
        <f aca="false">A34*CycleLength</f>
        <v>2.46153846153846</v>
      </c>
      <c r="C34" s="27" t="n">
        <f aca="false">MAX(0,1-I34-F34-G34-D34)</f>
        <v>0.187957703483714</v>
      </c>
      <c r="D34" s="27" t="n">
        <f aca="false">IF(A34=1, 0, F33*M34*(1-(1-(1-qx)^(1/13)))+D33*(1-pReResp)*(1-(1-(1-qx)^(1/13))))</f>
        <v>0.418799919859465</v>
      </c>
      <c r="E34" s="27" t="n">
        <f aca="false">C34+D34</f>
        <v>0.606757623343179</v>
      </c>
      <c r="F34" s="27" t="n">
        <f aca="false">IF(A34=1, C33*pRespEsk*(1-(1-(1-qx)^(1/13))), MAX(0, F33*(1-M34)*(1-(1-(1-qx)^(1/13)))+D33*pReResp*(1-(1-(1-qx)^(1/13)))))</f>
        <v>0.271473916753172</v>
      </c>
      <c r="G34" s="27" t="n">
        <f aca="false">IF(A34=1, 0, MAX(0, G33*(1-pRelComp)*(1-(1-(1-qx)^(1/13)))+C33*pReResp*(1-(1-(1-qx)^(1/13)))))</f>
        <v>0.117834602201827</v>
      </c>
      <c r="H34" s="27" t="n">
        <f aca="false">F34+G34</f>
        <v>0.389308518954999</v>
      </c>
      <c r="I34" s="27" t="n">
        <f aca="false">I33+(1-I33)*(1-(1-qx)^(1/13))</f>
        <v>0.00393385770182266</v>
      </c>
      <c r="J34" s="27" t="n">
        <f aca="false">E34+H34+I34</f>
        <v>1</v>
      </c>
      <c r="K34" s="27" t="n">
        <f aca="false">F34</f>
        <v>0.271473916753172</v>
      </c>
      <c r="L34" s="27" t="n">
        <f aca="false">IF(A34&lt;TreatCycles,1,MAX(0,L33*(1-Waning)))</f>
        <v>0.0202327174731858</v>
      </c>
      <c r="M34" s="27" t="n">
        <f aca="false">pRelEsk+(1-L34)*(pRelComp-pRelEsk)</f>
        <v>0.126246774446527</v>
      </c>
      <c r="N34" s="25" t="n">
        <f aca="false">IF(A34&gt;=TreatCycles,0,IF(A34=1,Sess1,Sess2)*K34)</f>
        <v>0</v>
      </c>
      <c r="O34" s="29" t="n">
        <f aca="false">N34*(PriceSession+AdminSession)</f>
        <v>0</v>
      </c>
      <c r="P34" s="29" t="n">
        <f aca="false">(1-I34)*cOral</f>
        <v>3.98426456919271</v>
      </c>
      <c r="Q34" s="29" t="n">
        <f aca="false">E34*cDep+H34*cResp</f>
        <v>658.469067984935</v>
      </c>
      <c r="R34" s="29" t="n">
        <f aca="false">O34+P34+Q34</f>
        <v>662.453332554128</v>
      </c>
      <c r="S34" s="26" t="n">
        <f aca="false">(E34*uDep+H34*uResp)*CycleLength</f>
        <v>0.0446481841057892</v>
      </c>
      <c r="T34" s="26" t="n">
        <f aca="false">(S34+S35)/2</f>
        <v>0.0446323940660741</v>
      </c>
      <c r="U34" s="26" t="n">
        <f aca="false">1/(1+DiscRate)^(B34+CycleLength/2)</f>
        <v>0.917590958357004</v>
      </c>
      <c r="V34" s="29" t="n">
        <f aca="false">R34*U34</f>
        <v>607.861188285133</v>
      </c>
      <c r="W34" s="26" t="n">
        <f aca="false">T34*U34</f>
        <v>0.0409542812448564</v>
      </c>
    </row>
    <row r="35" customFormat="false" ht="15" hidden="false" customHeight="true" outlineLevel="0" collapsed="false">
      <c r="A35" s="25" t="n">
        <f aca="false">A34+1</f>
        <v>33</v>
      </c>
      <c r="B35" s="26" t="n">
        <f aca="false">A35*CycleLength</f>
        <v>2.53846153846154</v>
      </c>
      <c r="C35" s="27" t="n">
        <f aca="false">MAX(0,1-I35-F35-G35-D35)</f>
        <v>0.187916430470078</v>
      </c>
      <c r="D35" s="27" t="n">
        <f aca="false">IF(A35=1, 0, F34*M35*(1-(1-(1-qx)^(1/13)))+D34*(1-pReResp)*(1-(1-(1-qx)^(1/13))))</f>
        <v>0.419566108700641</v>
      </c>
      <c r="E35" s="27" t="n">
        <f aca="false">C35+D35</f>
        <v>0.60748253917072</v>
      </c>
      <c r="F35" s="27" t="n">
        <f aca="false">IF(A35=1, C34*pRespEsk*(1-(1-(1-qx)^(1/13))), MAX(0, F34*(1-M35)*(1-(1-(1-qx)^(1/13)))+D34*pReResp*(1-(1-(1-qx)^(1/13)))))</f>
        <v>0.27062270833037</v>
      </c>
      <c r="G35" s="27" t="n">
        <f aca="false">IF(A35=1, 0, MAX(0, G34*(1-pRelComp)*(1-(1-(1-qx)^(1/13)))+C34*pReResp*(1-(1-(1-qx)^(1/13)))))</f>
        <v>0.117838211418118</v>
      </c>
      <c r="H35" s="27" t="n">
        <f aca="false">F35+G35</f>
        <v>0.388460919748488</v>
      </c>
      <c r="I35" s="27" t="n">
        <f aca="false">I34+(1-I34)*(1-(1-qx)^(1/13))</f>
        <v>0.00405654108079302</v>
      </c>
      <c r="J35" s="27" t="n">
        <f aca="false">E35+H35+I35</f>
        <v>1</v>
      </c>
      <c r="K35" s="27" t="n">
        <f aca="false">F35</f>
        <v>0.27062270833037</v>
      </c>
      <c r="L35" s="27" t="n">
        <f aca="false">IF(A35&lt;TreatCycles,1,MAX(0,L34*(1-Waning)))</f>
        <v>0.0171978098522079</v>
      </c>
      <c r="M35" s="27" t="n">
        <f aca="false">pRelEsk+(1-L35)*(pRelComp-pRelEsk)</f>
        <v>0.126427858279548</v>
      </c>
      <c r="N35" s="25" t="n">
        <f aca="false">IF(A35&gt;=TreatCycles,0,IF(A35=1,Sess1,Sess2)*K35)</f>
        <v>0</v>
      </c>
      <c r="O35" s="29" t="n">
        <f aca="false">N35*(PriceSession+AdminSession)</f>
        <v>0</v>
      </c>
      <c r="P35" s="29" t="n">
        <f aca="false">(1-I35)*cOral</f>
        <v>3.98377383567683</v>
      </c>
      <c r="Q35" s="29" t="n">
        <f aca="false">E35*cDep+H35*cResp</f>
        <v>659.040479226057</v>
      </c>
      <c r="R35" s="29" t="n">
        <f aca="false">O35+P35+Q35</f>
        <v>663.024253061734</v>
      </c>
      <c r="S35" s="26" t="n">
        <f aca="false">(E35*uDep+H35*uResp)*CycleLength</f>
        <v>0.0446166040263591</v>
      </c>
      <c r="T35" s="26" t="n">
        <f aca="false">(S35+S36)/2</f>
        <v>0.0446028296039567</v>
      </c>
      <c r="U35" s="26" t="n">
        <f aca="false">1/(1+DiscRate)^(B35+CycleLength/2)</f>
        <v>0.915165980790093</v>
      </c>
      <c r="V35" s="29" t="n">
        <f aca="false">R35*U35</f>
        <v>606.77724084086</v>
      </c>
      <c r="W35" s="26" t="n">
        <f aca="false">T35*U35</f>
        <v>0.0408189923005184</v>
      </c>
    </row>
    <row r="36" customFormat="false" ht="15" hidden="false" customHeight="true" outlineLevel="0" collapsed="false">
      <c r="A36" s="25" t="n">
        <f aca="false">A35+1</f>
        <v>34</v>
      </c>
      <c r="B36" s="26" t="n">
        <f aca="false">A36*CycleLength</f>
        <v>2.61538461538461</v>
      </c>
      <c r="C36" s="27" t="n">
        <f aca="false">MAX(0,1-I36-F36-G36-D36)</f>
        <v>0.187878923926758</v>
      </c>
      <c r="D36" s="27" t="n">
        <f aca="false">IF(A36=1, 0, F35*M36*(1-(1-(1-qx)^(1/13)))+D35*(1-pReResp)*(1-(1-(1-qx)^(1/13))))</f>
        <v>0.420204961868509</v>
      </c>
      <c r="E36" s="27" t="n">
        <f aca="false">C36+D36</f>
        <v>0.608083885795267</v>
      </c>
      <c r="F36" s="27" t="n">
        <f aca="false">IF(A36=1, C35*pRespEsk*(1-(1-(1-qx)^(1/13))), MAX(0, F35*(1-M36)*(1-(1-(1-qx)^(1/13)))+D35*pReResp*(1-(1-(1-qx)^(1/13)))))</f>
        <v>0.269898846052559</v>
      </c>
      <c r="G36" s="27" t="n">
        <f aca="false">IF(A36=1, 0, MAX(0, G35*(1-pRelComp)*(1-(1-(1-qx)^(1/13)))+C35*pReResp*(1-(1-(1-qx)^(1/13)))))</f>
        <v>0.117838058803065</v>
      </c>
      <c r="H36" s="27" t="n">
        <f aca="false">F36+G36</f>
        <v>0.387736904855625</v>
      </c>
      <c r="I36" s="27" t="n">
        <f aca="false">I35+(1-I35)*(1-(1-qx)^(1/13))</f>
        <v>0.00417920934910873</v>
      </c>
      <c r="J36" s="27" t="n">
        <f aca="false">E36+H36+I36</f>
        <v>1</v>
      </c>
      <c r="K36" s="27" t="n">
        <f aca="false">F36</f>
        <v>0.269898846052559</v>
      </c>
      <c r="L36" s="27" t="n">
        <f aca="false">IF(A36&lt;TreatCycles,1,MAX(0,L35*(1-Waning)))</f>
        <v>0.0146181383743767</v>
      </c>
      <c r="M36" s="27" t="n">
        <f aca="false">pRelEsk+(1-L36)*(pRelComp-pRelEsk)</f>
        <v>0.126581779537616</v>
      </c>
      <c r="N36" s="25" t="n">
        <f aca="false">IF(A36&gt;=TreatCycles,0,IF(A36=1,Sess1,Sess2)*K36)</f>
        <v>0</v>
      </c>
      <c r="O36" s="29" t="n">
        <f aca="false">N36*(PriceSession+AdminSession)</f>
        <v>0</v>
      </c>
      <c r="P36" s="29" t="n">
        <f aca="false">(1-I36)*cOral</f>
        <v>3.98328316260357</v>
      </c>
      <c r="Q36" s="29" t="n">
        <f aca="false">E36*cDep+H36*cResp</f>
        <v>659.511060475684</v>
      </c>
      <c r="R36" s="29" t="n">
        <f aca="false">O36+P36+Q36</f>
        <v>663.494343638287</v>
      </c>
      <c r="S36" s="26" t="n">
        <f aca="false">(E36*uDep+H36*uResp)*CycleLength</f>
        <v>0.0445890551815543</v>
      </c>
      <c r="T36" s="26" t="n">
        <f aca="false">(S36+S37)/2</f>
        <v>0.0445769854745189</v>
      </c>
      <c r="U36" s="26" t="n">
        <f aca="false">1/(1+DiscRate)^(B36+CycleLength/2)</f>
        <v>0.912747411869808</v>
      </c>
      <c r="V36" s="29" t="n">
        <f aca="false">R36*U36</f>
        <v>605.602744946104</v>
      </c>
      <c r="W36" s="26" t="n">
        <f aca="false">T36*U36</f>
        <v>0.0406875281208252</v>
      </c>
    </row>
    <row r="37" customFormat="false" ht="15" hidden="false" customHeight="true" outlineLevel="0" collapsed="false">
      <c r="A37" s="25" t="n">
        <f aca="false">A36+1</f>
        <v>35</v>
      </c>
      <c r="B37" s="26" t="n">
        <f aca="false">A37*CycleLength</f>
        <v>2.69230769230769</v>
      </c>
      <c r="C37" s="27" t="n">
        <f aca="false">MAX(0,1-I37-F37-G37-D37)</f>
        <v>0.187844402707935</v>
      </c>
      <c r="D37" s="27" t="n">
        <f aca="false">IF(A37=1, 0, F36*M37*(1-(1-(1-qx)^(1/13)))+D36*(1-pReResp)*(1-(1-(1-qx)^(1/13))))</f>
        <v>0.420736325247151</v>
      </c>
      <c r="E37" s="27" t="n">
        <f aca="false">C37+D37</f>
        <v>0.608580727955085</v>
      </c>
      <c r="F37" s="27" t="n">
        <f aca="false">IF(A37=1, C36*pRespEsk*(1-(1-(1-qx)^(1/13))), MAX(0, F36*(1-M37)*(1-(1-(1-qx)^(1/13)))+D36*pReResp*(1-(1-(1-qx)^(1/13)))))</f>
        <v>0.269282484034368</v>
      </c>
      <c r="G37" s="27" t="n">
        <f aca="false">IF(A37=1, 0, MAX(0, G36*(1-pRelComp)*(1-(1-(1-qx)^(1/13)))+C36*pReResp*(1-(1-(1-qx)^(1/13)))))</f>
        <v>0.117834925501915</v>
      </c>
      <c r="H37" s="27" t="n">
        <f aca="false">F37+G37</f>
        <v>0.387117409536284</v>
      </c>
      <c r="I37" s="27" t="n">
        <f aca="false">I36+(1-I36)*(1-(1-qx)^(1/13))</f>
        <v>0.00430186250863096</v>
      </c>
      <c r="J37" s="27" t="n">
        <f aca="false">E37+H37+I37</f>
        <v>1</v>
      </c>
      <c r="K37" s="27" t="n">
        <f aca="false">F37</f>
        <v>0.269282484034368</v>
      </c>
      <c r="L37" s="27" t="n">
        <f aca="false">IF(A37&lt;TreatCycles,1,MAX(0,L36*(1-Waning)))</f>
        <v>0.0124254176182202</v>
      </c>
      <c r="M37" s="27" t="n">
        <f aca="false">pRelEsk+(1-L37)*(pRelComp-pRelEsk)</f>
        <v>0.126712612606974</v>
      </c>
      <c r="N37" s="25" t="n">
        <f aca="false">IF(A37&gt;=TreatCycles,0,IF(A37=1,Sess1,Sess2)*K37)</f>
        <v>0</v>
      </c>
      <c r="O37" s="29" t="n">
        <f aca="false">N37*(PriceSession+AdminSession)</f>
        <v>0</v>
      </c>
      <c r="P37" s="29" t="n">
        <f aca="false">(1-I37)*cOral</f>
        <v>3.98279254996548</v>
      </c>
      <c r="Q37" s="29" t="n">
        <f aca="false">E37*cDep+H37*cResp</f>
        <v>659.896368559934</v>
      </c>
      <c r="R37" s="29" t="n">
        <f aca="false">O37+P37+Q37</f>
        <v>663.8791611099</v>
      </c>
      <c r="S37" s="26" t="n">
        <f aca="false">(E37*uDep+H37*uResp)*CycleLength</f>
        <v>0.0445649157674835</v>
      </c>
      <c r="T37" s="26" t="n">
        <f aca="false">(S37+S38)/2</f>
        <v>0.0445542873580049</v>
      </c>
      <c r="U37" s="26" t="n">
        <f aca="false">1/(1+DiscRate)^(B37+CycleLength/2)</f>
        <v>0.910335234659602</v>
      </c>
      <c r="V37" s="29" t="n">
        <f aca="false">R37*U37</f>
        <v>604.3525919146</v>
      </c>
      <c r="W37" s="26" t="n">
        <f aca="false">T37*U37</f>
        <v>0.0405593376371407</v>
      </c>
    </row>
    <row r="38" customFormat="false" ht="15" hidden="false" customHeight="true" outlineLevel="0" collapsed="false">
      <c r="A38" s="25" t="n">
        <f aca="false">A37+1</f>
        <v>36</v>
      </c>
      <c r="B38" s="26" t="n">
        <f aca="false">A38*CycleLength</f>
        <v>2.76923076923077</v>
      </c>
      <c r="C38" s="27" t="n">
        <f aca="false">MAX(0,1-I38-F38-G38-D38)</f>
        <v>0.187812247795793</v>
      </c>
      <c r="D38" s="27" t="n">
        <f aca="false">IF(A38=1, 0, F37*M38*(1-(1-(1-qx)^(1/13)))+D37*(1-pReResp)*(1-(1-(1-qx)^(1/13))))</f>
        <v>0.42117697082961</v>
      </c>
      <c r="E38" s="27" t="n">
        <f aca="false">C38+D38</f>
        <v>0.608989218625404</v>
      </c>
      <c r="F38" s="27" t="n">
        <f aca="false">IF(A38=1, C37*pRespEsk*(1-(1-(1-qx)^(1/13))), MAX(0, F37*(1-M38)*(1-(1-(1-qx)^(1/13)))+D37*pReResp*(1-(1-(1-qx)^(1/13)))))</f>
        <v>0.268756850281464</v>
      </c>
      <c r="G38" s="27" t="n">
        <f aca="false">IF(A38=1, 0, MAX(0, G37*(1-pRelComp)*(1-(1-(1-qx)^(1/13)))+C37*pReResp*(1-(1-(1-qx)^(1/13)))))</f>
        <v>0.117829430531912</v>
      </c>
      <c r="H38" s="27" t="n">
        <f aca="false">F38+G38</f>
        <v>0.386586280813376</v>
      </c>
      <c r="I38" s="27" t="n">
        <f aca="false">I37+(1-I37)*(1-(1-qx)^(1/13))</f>
        <v>0.0044245005612206</v>
      </c>
      <c r="J38" s="27" t="n">
        <f aca="false">E38+H38+I38</f>
        <v>1</v>
      </c>
      <c r="K38" s="27" t="n">
        <f aca="false">F38</f>
        <v>0.268756850281464</v>
      </c>
      <c r="L38" s="27" t="n">
        <f aca="false">IF(A38&lt;TreatCycles,1,MAX(0,L37*(1-Waning)))</f>
        <v>0.0105616049754872</v>
      </c>
      <c r="M38" s="27" t="n">
        <f aca="false">pRelEsk+(1-L38)*(pRelComp-pRelEsk)</f>
        <v>0.126823820715928</v>
      </c>
      <c r="N38" s="25" t="n">
        <f aca="false">IF(A38&gt;=TreatCycles,0,IF(A38=1,Sess1,Sess2)*K38)</f>
        <v>0</v>
      </c>
      <c r="O38" s="29" t="n">
        <f aca="false">N38*(PriceSession+AdminSession)</f>
        <v>0</v>
      </c>
      <c r="P38" s="29" t="n">
        <f aca="false">(1-I38)*cOral</f>
        <v>3.98230199775512</v>
      </c>
      <c r="Q38" s="29" t="n">
        <f aca="false">E38*cDep+H38*cResp</f>
        <v>660.209584306289</v>
      </c>
      <c r="R38" s="29" t="n">
        <f aca="false">O38+P38+Q38</f>
        <v>664.191886304044</v>
      </c>
      <c r="S38" s="26" t="n">
        <f aca="false">(E38*uDep+H38*uResp)*CycleLength</f>
        <v>0.0445436589485263</v>
      </c>
      <c r="T38" s="26" t="n">
        <f aca="false">(S38+S39)/2</f>
        <v>0.0445342488675162</v>
      </c>
      <c r="U38" s="26" t="n">
        <f aca="false">1/(1+DiscRate)^(B38+CycleLength/2)</f>
        <v>0.907929432267683</v>
      </c>
      <c r="V38" s="29" t="n">
        <f aca="false">R38*U38</f>
        <v>603.039362248833</v>
      </c>
      <c r="W38" s="26" t="n">
        <f aca="false">T38*U38</f>
        <v>0.0404339552907517</v>
      </c>
    </row>
    <row r="39" customFormat="false" ht="15" hidden="false" customHeight="true" outlineLevel="0" collapsed="false">
      <c r="A39" s="25" t="n">
        <f aca="false">A38+1</f>
        <v>37</v>
      </c>
      <c r="B39" s="26" t="n">
        <f aca="false">A39*CycleLength</f>
        <v>2.84615384615385</v>
      </c>
      <c r="C39" s="27" t="n">
        <f aca="false">MAX(0,1-I39-F39-G39-D39)</f>
        <v>0.187781968650595</v>
      </c>
      <c r="D39" s="27" t="n">
        <f aca="false">IF(A39=1, 0, F38*M39*(1-(1-(1-qx)^(1/13)))+D38*(1-pReResp)*(1-(1-(1-qx)^(1/13))))</f>
        <v>0.421541061784714</v>
      </c>
      <c r="E39" s="27" t="n">
        <f aca="false">C39+D39</f>
        <v>0.609323030435309</v>
      </c>
      <c r="F39" s="27" t="n">
        <f aca="false">IF(A39=1, C38*pRespEsk*(1-(1-(1-qx)^(1/13))), MAX(0, F38*(1-M39)*(1-(1-(1-qx)^(1/13)))+D38*pReResp*(1-(1-(1-qx)^(1/13)))))</f>
        <v>0.268307781623731</v>
      </c>
      <c r="G39" s="27" t="n">
        <f aca="false">IF(A39=1, 0, MAX(0, G38*(1-pRelComp)*(1-(1-(1-qx)^(1/13)))+C38*pReResp*(1-(1-(1-qx)^(1/13)))))</f>
        <v>0.117822064432222</v>
      </c>
      <c r="H39" s="27" t="n">
        <f aca="false">F39+G39</f>
        <v>0.386129846055953</v>
      </c>
      <c r="I39" s="27" t="n">
        <f aca="false">I38+(1-I38)*(1-(1-qx)^(1/13))</f>
        <v>0.00454712350873837</v>
      </c>
      <c r="J39" s="27" t="n">
        <f aca="false">E39+H39+I39</f>
        <v>1</v>
      </c>
      <c r="K39" s="27" t="n">
        <f aca="false">F39</f>
        <v>0.268307781623731</v>
      </c>
      <c r="L39" s="27" t="n">
        <f aca="false">IF(A39&lt;TreatCycles,1,MAX(0,L38*(1-Waning)))</f>
        <v>0.00897736422916409</v>
      </c>
      <c r="M39" s="27" t="n">
        <f aca="false">pRelEsk+(1-L39)*(pRelComp-pRelEsk)</f>
        <v>0.126918347608538</v>
      </c>
      <c r="N39" s="25" t="n">
        <f aca="false">IF(A39&gt;=TreatCycles,0,IF(A39=1,Sess1,Sess2)*K39)</f>
        <v>0</v>
      </c>
      <c r="O39" s="29" t="n">
        <f aca="false">N39*(PriceSession+AdminSession)</f>
        <v>0</v>
      </c>
      <c r="P39" s="29" t="n">
        <f aca="false">(1-I39)*cOral</f>
        <v>3.98181150596505</v>
      </c>
      <c r="Q39" s="29" t="n">
        <f aca="false">E39*cDep+H39*cResp</f>
        <v>660.461864579779</v>
      </c>
      <c r="R39" s="29" t="n">
        <f aca="false">O39+P39+Q39</f>
        <v>664.443676085744</v>
      </c>
      <c r="S39" s="26" t="n">
        <f aca="false">(E39*uDep+H39*uResp)*CycleLength</f>
        <v>0.0445248387865062</v>
      </c>
      <c r="T39" s="26" t="n">
        <f aca="false">(S39+S40)/2</f>
        <v>0.0445164584413932</v>
      </c>
      <c r="U39" s="26" t="n">
        <f aca="false">1/(1+DiscRate)^(B39+CycleLength/2)</f>
        <v>0.905529987846904</v>
      </c>
      <c r="V39" s="29" t="n">
        <f aca="false">R39*U39</f>
        <v>601.673673930876</v>
      </c>
      <c r="W39" s="26" t="n">
        <f aca="false">T39*U39</f>
        <v>0.040310988071422</v>
      </c>
    </row>
    <row r="40" customFormat="false" ht="15" hidden="false" customHeight="true" outlineLevel="0" collapsed="false">
      <c r="A40" s="25" t="n">
        <f aca="false">A39+1</f>
        <v>38</v>
      </c>
      <c r="B40" s="26" t="n">
        <f aca="false">A40*CycleLength</f>
        <v>2.92307692307692</v>
      </c>
      <c r="C40" s="27" t="n">
        <f aca="false">MAX(0,1-I40-F40-G40-D40)</f>
        <v>0.187753176544842</v>
      </c>
      <c r="D40" s="27" t="n">
        <f aca="false">IF(A40=1, 0, F39*M40*(1-(1-(1-qx)^(1/13)))+D39*(1-pReResp)*(1-(1-(1-qx)^(1/13))))</f>
        <v>0.421840551475077</v>
      </c>
      <c r="E40" s="27" t="n">
        <f aca="false">C40+D40</f>
        <v>0.609593728019919</v>
      </c>
      <c r="F40" s="27" t="n">
        <f aca="false">IF(A40=1, C39*pRespEsk*(1-(1-(1-qx)^(1/13))), MAX(0, F39*(1-M40)*(1-(1-(1-qx)^(1/13)))+D39*pReResp*(1-(1-(1-qx)^(1/13)))))</f>
        <v>0.267923324697264</v>
      </c>
      <c r="G40" s="27" t="n">
        <f aca="false">IF(A40=1, 0, MAX(0, G39*(1-pRelComp)*(1-(1-(1-qx)^(1/13)))+C39*pReResp*(1-(1-(1-qx)^(1/13)))))</f>
        <v>0.117813215929773</v>
      </c>
      <c r="H40" s="27" t="n">
        <f aca="false">F40+G40</f>
        <v>0.385736540627036</v>
      </c>
      <c r="I40" s="27" t="n">
        <f aca="false">I39+(1-I39)*(1-(1-qx)^(1/13))</f>
        <v>0.00466973135304471</v>
      </c>
      <c r="J40" s="27" t="n">
        <f aca="false">E40+H40+I40</f>
        <v>1</v>
      </c>
      <c r="K40" s="27" t="n">
        <f aca="false">F40</f>
        <v>0.267923324697264</v>
      </c>
      <c r="L40" s="27" t="n">
        <f aca="false">IF(A40&lt;TreatCycles,1,MAX(0,L39*(1-Waning)))</f>
        <v>0.00763075959478948</v>
      </c>
      <c r="M40" s="27" t="n">
        <f aca="false">pRelEsk+(1-L40)*(pRelComp-pRelEsk)</f>
        <v>0.126998695467258</v>
      </c>
      <c r="N40" s="25" t="n">
        <f aca="false">IF(A40&gt;=TreatCycles,0,IF(A40=1,Sess1,Sess2)*K40)</f>
        <v>0</v>
      </c>
      <c r="O40" s="29" t="n">
        <f aca="false">N40*(PriceSession+AdminSession)</f>
        <v>0</v>
      </c>
      <c r="P40" s="29" t="n">
        <f aca="false">(1-I40)*cOral</f>
        <v>3.98132107458782</v>
      </c>
      <c r="Q40" s="29" t="n">
        <f aca="false">E40*cDep+H40*cResp</f>
        <v>660.662646122354</v>
      </c>
      <c r="R40" s="29" t="n">
        <f aca="false">O40+P40+Q40</f>
        <v>664.643967196942</v>
      </c>
      <c r="S40" s="26" t="n">
        <f aca="false">(E40*uDep+H40*uResp)*CycleLength</f>
        <v>0.0445080780962803</v>
      </c>
      <c r="T40" s="26" t="n">
        <f aca="false">(S40+S41)/2</f>
        <v>0.0445005680573952</v>
      </c>
      <c r="U40" s="26" t="n">
        <f aca="false">1/(1+DiscRate)^(B40+CycleLength/2)</f>
        <v>0.903136884594638</v>
      </c>
      <c r="V40" s="29" t="n">
        <f aca="false">R40*U40</f>
        <v>600.264481898867</v>
      </c>
      <c r="W40" s="26" t="n">
        <f aca="false">T40*U40</f>
        <v>0.0401901043980475</v>
      </c>
    </row>
    <row r="41" customFormat="false" ht="15" hidden="false" customHeight="true" outlineLevel="0" collapsed="false">
      <c r="A41" s="25" t="n">
        <f aca="false">A40+1</f>
        <v>39</v>
      </c>
      <c r="B41" s="26" t="n">
        <f aca="false">A41*CycleLength</f>
        <v>3</v>
      </c>
      <c r="C41" s="27" t="n">
        <f aca="false">MAX(0,1-I41-F41-G41-D41)</f>
        <v>0.187725563431987</v>
      </c>
      <c r="D41" s="27" t="n">
        <f aca="false">IF(A41=1, 0, F40*M41*(1-(1-(1-qx)^(1/13)))+D40*(1-pReResp)*(1-(1-(1-qx)^(1/13))))</f>
        <v>0.422085524291205</v>
      </c>
      <c r="E41" s="27" t="n">
        <f aca="false">C41+D41</f>
        <v>0.609811087723192</v>
      </c>
      <c r="F41" s="27" t="n">
        <f aca="false">IF(A41=1, C40*pRespEsk*(1-(1-(1-qx)^(1/13))), MAX(0, F40*(1-M41)*(1-(1-(1-qx)^(1/13)))+D40*pReResp*(1-(1-(1-qx)^(1/13)))))</f>
        <v>0.267593395110268</v>
      </c>
      <c r="G41" s="27" t="n">
        <f aca="false">IF(A41=1, 0, MAX(0, G40*(1-pRelComp)*(1-(1-(1-qx)^(1/13)))+C40*pReResp*(1-(1-(1-qx)^(1/13)))))</f>
        <v>0.117803193070541</v>
      </c>
      <c r="H41" s="27" t="n">
        <f aca="false">F41+G41</f>
        <v>0.385396588180808</v>
      </c>
      <c r="I41" s="27" t="n">
        <f aca="false">I40+(1-I40)*(1-(1-qx)^(1/13))</f>
        <v>0.00479232409599985</v>
      </c>
      <c r="J41" s="27" t="n">
        <f aca="false">E41+H41+I41</f>
        <v>1</v>
      </c>
      <c r="K41" s="27" t="n">
        <f aca="false">F41</f>
        <v>0.267593395110268</v>
      </c>
      <c r="L41" s="27" t="n">
        <f aca="false">IF(A41&lt;TreatCycles,1,MAX(0,L40*(1-Waning)))</f>
        <v>0.00648614565557106</v>
      </c>
      <c r="M41" s="27" t="n">
        <f aca="false">pRelEsk+(1-L41)*(pRelComp-pRelEsk)</f>
        <v>0.127066991147169</v>
      </c>
      <c r="N41" s="25" t="n">
        <f aca="false">IF(A41&gt;=TreatCycles,0,IF(A41=1,Sess1,Sess2)*K41)</f>
        <v>0</v>
      </c>
      <c r="O41" s="29" t="n">
        <f aca="false">N41*(PriceSession+AdminSession)</f>
        <v>0</v>
      </c>
      <c r="P41" s="29" t="n">
        <f aca="false">(1-I41)*cOral</f>
        <v>3.980830703616</v>
      </c>
      <c r="Q41" s="29" t="n">
        <f aca="false">E41*cDep+H41*cResp</f>
        <v>660.819906430381</v>
      </c>
      <c r="R41" s="29" t="n">
        <f aca="false">O41+P41+Q41</f>
        <v>664.800737133997</v>
      </c>
      <c r="S41" s="26" t="n">
        <f aca="false">(E41*uDep+H41*uResp)*CycleLength</f>
        <v>0.0444930580185101</v>
      </c>
      <c r="T41" s="26" t="n">
        <f aca="false">(S41+S42)/2</f>
        <v>0.0444862835610774</v>
      </c>
      <c r="U41" s="26" t="n">
        <f aca="false">1/(1+DiscRate)^(B41+CycleLength/2)</f>
        <v>0.900750105752665</v>
      </c>
      <c r="V41" s="29" t="n">
        <f aca="false">R41*U41</f>
        <v>598.819334277897</v>
      </c>
      <c r="W41" s="26" t="n">
        <f aca="false">T41*U41</f>
        <v>0.0400710246221835</v>
      </c>
    </row>
    <row r="42" customFormat="false" ht="15" hidden="false" customHeight="true" outlineLevel="0" collapsed="false">
      <c r="A42" s="25" t="n">
        <f aca="false">A41+1</f>
        <v>40</v>
      </c>
      <c r="B42" s="26" t="n">
        <f aca="false">A42*CycleLength</f>
        <v>3.07692307692308</v>
      </c>
      <c r="C42" s="27" t="n">
        <f aca="false">MAX(0,1-I42-F42-G42-D42)</f>
        <v>0.187698885200966</v>
      </c>
      <c r="D42" s="27" t="n">
        <f aca="false">IF(A42=1, 0, F41*M42*(1-(1-(1-qx)^(1/13)))+D41*(1-pReResp)*(1-(1-(1-qx)^(1/13))))</f>
        <v>0.422284485765376</v>
      </c>
      <c r="E42" s="27" t="n">
        <f aca="false">C42+D42</f>
        <v>0.609983370966343</v>
      </c>
      <c r="F42" s="27" t="n">
        <f aca="false">IF(A42=1, C41*pRespEsk*(1-(1-(1-qx)^(1/13))), MAX(0, F41*(1-M42)*(1-(1-(1-qx)^(1/13)))+D41*pReResp*(1-(1-(1-qx)^(1/13)))))</f>
        <v>0.267309487329176</v>
      </c>
      <c r="G42" s="27" t="n">
        <f aca="false">IF(A42=1, 0, MAX(0, G41*(1-pRelComp)*(1-(1-(1-qx)^(1/13)))+C41*pReResp*(1-(1-(1-qx)^(1/13)))))</f>
        <v>0.117792239965018</v>
      </c>
      <c r="H42" s="27" t="n">
        <f aca="false">F42+G42</f>
        <v>0.385101727294194</v>
      </c>
      <c r="I42" s="27" t="n">
        <f aca="false">I41+(1-I41)*(1-(1-qx)^(1/13))</f>
        <v>0.0049149017394638</v>
      </c>
      <c r="J42" s="27" t="n">
        <f aca="false">E42+H42+I42</f>
        <v>1</v>
      </c>
      <c r="K42" s="27" t="n">
        <f aca="false">F42</f>
        <v>0.267309487329176</v>
      </c>
      <c r="L42" s="27" t="n">
        <f aca="false">IF(A42&lt;TreatCycles,1,MAX(0,L41*(1-Waning)))</f>
        <v>0.0055132238072354</v>
      </c>
      <c r="M42" s="27" t="n">
        <f aca="false">pRelEsk+(1-L42)*(pRelComp-pRelEsk)</f>
        <v>0.127125042475094</v>
      </c>
      <c r="N42" s="25" t="n">
        <f aca="false">IF(A42&gt;=TreatCycles,0,IF(A42=1,Sess1,Sess2)*K42)</f>
        <v>0</v>
      </c>
      <c r="O42" s="29" t="n">
        <f aca="false">N42*(PriceSession+AdminSession)</f>
        <v>0</v>
      </c>
      <c r="P42" s="29" t="n">
        <f aca="false">(1-I42)*cOral</f>
        <v>3.98034039304214</v>
      </c>
      <c r="Q42" s="29" t="n">
        <f aca="false">E42*cDep+H42*cResp</f>
        <v>660.940386823264</v>
      </c>
      <c r="R42" s="29" t="n">
        <f aca="false">O42+P42+Q42</f>
        <v>664.920727216306</v>
      </c>
      <c r="S42" s="26" t="n">
        <f aca="false">(E42*uDep+H42*uResp)*CycleLength</f>
        <v>0.0444795091036447</v>
      </c>
      <c r="T42" s="26" t="n">
        <f aca="false">(S42+S43)/2</f>
        <v>0.0444733564083032</v>
      </c>
      <c r="U42" s="26" t="n">
        <f aca="false">1/(1+DiscRate)^(B42+CycleLength/2)</f>
        <v>0.898369634607054</v>
      </c>
      <c r="V42" s="29" t="n">
        <f aca="false">R42*U42</f>
        <v>597.344590751969</v>
      </c>
      <c r="W42" s="26" t="n">
        <f aca="false">T42*U42</f>
        <v>0.0399535129462766</v>
      </c>
    </row>
    <row r="43" customFormat="false" ht="15" hidden="false" customHeight="true" outlineLevel="0" collapsed="false">
      <c r="A43" s="25" t="n">
        <f aca="false">A42+1</f>
        <v>41</v>
      </c>
      <c r="B43" s="26" t="n">
        <f aca="false">A43*CycleLength</f>
        <v>3.15384615384615</v>
      </c>
      <c r="C43" s="27" t="n">
        <f aca="false">MAX(0,1-I43-F43-G43-D43)</f>
        <v>0.18767294840629</v>
      </c>
      <c r="D43" s="27" t="n">
        <f aca="false">IF(A43=1, 0, F42*M43*(1-(1-(1-qx)^(1/13)))+D42*(1-pReResp)*(1-(1-(1-qx)^(1/13))))</f>
        <v>0.422444608828533</v>
      </c>
      <c r="E43" s="27" t="n">
        <f aca="false">C43+D43</f>
        <v>0.610117557234823</v>
      </c>
      <c r="F43" s="27" t="n">
        <f aca="false">IF(A43=1, C42*pRespEsk*(1-(1-(1-qx)^(1/13))), MAX(0, F42*(1-M43)*(1-(1-(1-qx)^(1/13)))+D42*pReResp*(1-(1-(1-qx)^(1/13)))))</f>
        <v>0.267064428421757</v>
      </c>
      <c r="G43" s="27" t="n">
        <f aca="false">IF(A43=1, 0, MAX(0, G42*(1-pRelComp)*(1-(1-(1-qx)^(1/13)))+C42*pReResp*(1-(1-(1-qx)^(1/13)))))</f>
        <v>0.117780550058124</v>
      </c>
      <c r="H43" s="27" t="n">
        <f aca="false">F43+G43</f>
        <v>0.384844978479881</v>
      </c>
      <c r="I43" s="27" t="n">
        <f aca="false">I42+(1-I42)*(1-(1-qx)^(1/13))</f>
        <v>0.00503746428529633</v>
      </c>
      <c r="J43" s="27" t="n">
        <f aca="false">E43+H43+I43</f>
        <v>1</v>
      </c>
      <c r="K43" s="27" t="n">
        <f aca="false">F43</f>
        <v>0.267064428421757</v>
      </c>
      <c r="L43" s="27" t="n">
        <f aca="false">IF(A43&lt;TreatCycles,1,MAX(0,L42*(1-Waning)))</f>
        <v>0.00468624023615009</v>
      </c>
      <c r="M43" s="27" t="n">
        <f aca="false">pRelEsk+(1-L43)*(pRelComp-pRelEsk)</f>
        <v>0.12717438610383</v>
      </c>
      <c r="N43" s="25" t="n">
        <f aca="false">IF(A43&gt;=TreatCycles,0,IF(A43=1,Sess1,Sess2)*K43)</f>
        <v>0</v>
      </c>
      <c r="O43" s="29" t="n">
        <f aca="false">N43*(PriceSession+AdminSession)</f>
        <v>0</v>
      </c>
      <c r="P43" s="29" t="n">
        <f aca="false">(1-I43)*cOral</f>
        <v>3.97985014285882</v>
      </c>
      <c r="Q43" s="29" t="n">
        <f aca="false">E43*cDep+H43*cResp</f>
        <v>661.029782560827</v>
      </c>
      <c r="R43" s="29" t="n">
        <f aca="false">O43+P43+Q43</f>
        <v>665.009632703686</v>
      </c>
      <c r="S43" s="26" t="n">
        <f aca="false">(E43*uDep+H43*uResp)*CycleLength</f>
        <v>0.0444672037129616</v>
      </c>
      <c r="T43" s="26" t="n">
        <f aca="false">(S43+S44)/2</f>
        <v>0.044461576635895</v>
      </c>
      <c r="U43" s="26" t="n">
        <f aca="false">1/(1+DiscRate)^(B43+CycleLength/2)</f>
        <v>0.895995454488042</v>
      </c>
      <c r="V43" s="29" t="n">
        <f aca="false">R43*U43</f>
        <v>595.845608093265</v>
      </c>
      <c r="W43" s="26" t="n">
        <f aca="false">T43*U43</f>
        <v>0.0398373705651336</v>
      </c>
    </row>
    <row r="44" customFormat="false" ht="15" hidden="false" customHeight="true" outlineLevel="0" collapsed="false">
      <c r="A44" s="25" t="n">
        <f aca="false">A43+1</f>
        <v>42</v>
      </c>
      <c r="B44" s="26" t="n">
        <f aca="false">A44*CycleLength</f>
        <v>3.23076923076923</v>
      </c>
      <c r="C44" s="27" t="n">
        <f aca="false">MAX(0,1-I44-F44-G44-D44)</f>
        <v>0.18764759975232</v>
      </c>
      <c r="D44" s="27" t="n">
        <f aca="false">IF(A44=1, 0, F43*M44*(1-(1-(1-qx)^(1/13)))+D43*(1-pReResp)*(1-(1-(1-qx)^(1/13))))</f>
        <v>0.422571942383991</v>
      </c>
      <c r="E44" s="27" t="n">
        <f aca="false">C44+D44</f>
        <v>0.610219542136311</v>
      </c>
      <c r="F44" s="27" t="n">
        <f aca="false">IF(A44=1, C43*pRespEsk*(1-(1-(1-qx)^(1/13))), MAX(0, F43*(1-M44)*(1-(1-(1-qx)^(1/13)))+D43*pReResp*(1-(1-(1-qx)^(1/13)))))</f>
        <v>0.266852169483407</v>
      </c>
      <c r="G44" s="27" t="n">
        <f aca="false">IF(A44=1, 0, MAX(0, G43*(1-pRelComp)*(1-(1-(1-qx)^(1/13)))+C43*pReResp*(1-(1-(1-qx)^(1/13)))))</f>
        <v>0.117768276644925</v>
      </c>
      <c r="H44" s="27" t="n">
        <f aca="false">F44+G44</f>
        <v>0.384620446128332</v>
      </c>
      <c r="I44" s="27" t="n">
        <f aca="false">I43+(1-I43)*(1-(1-qx)^(1/13))</f>
        <v>0.00516001173535699</v>
      </c>
      <c r="J44" s="27" t="n">
        <f aca="false">E44+H44+I44</f>
        <v>1</v>
      </c>
      <c r="K44" s="27" t="n">
        <f aca="false">F44</f>
        <v>0.266852169483407</v>
      </c>
      <c r="L44" s="27" t="n">
        <f aca="false">IF(A44&lt;TreatCycles,1,MAX(0,L43*(1-Waning)))</f>
        <v>0.00398330420072758</v>
      </c>
      <c r="M44" s="27" t="n">
        <f aca="false">pRelEsk+(1-L44)*(pRelComp-pRelEsk)</f>
        <v>0.127216328188255</v>
      </c>
      <c r="N44" s="25" t="n">
        <f aca="false">IF(A44&gt;=TreatCycles,0,IF(A44=1,Sess1,Sess2)*K44)</f>
        <v>0</v>
      </c>
      <c r="O44" s="29" t="n">
        <f aca="false">N44*(PriceSession+AdminSession)</f>
        <v>0</v>
      </c>
      <c r="P44" s="29" t="n">
        <f aca="false">(1-I44)*cOral</f>
        <v>3.97935995305857</v>
      </c>
      <c r="Q44" s="29" t="n">
        <f aca="false">E44*cDep+H44*cResp</f>
        <v>661.092904458631</v>
      </c>
      <c r="R44" s="29" t="n">
        <f aca="false">O44+P44+Q44</f>
        <v>665.07226441169</v>
      </c>
      <c r="S44" s="26" t="n">
        <f aca="false">(E44*uDep+H44*uResp)*CycleLength</f>
        <v>0.0444559495588284</v>
      </c>
      <c r="T44" s="26" t="n">
        <f aca="false">(S44+S45)/2</f>
        <v>0.0444507668917014</v>
      </c>
      <c r="U44" s="26" t="n">
        <f aca="false">1/(1+DiscRate)^(B44+CycleLength/2)</f>
        <v>0.893627548769923</v>
      </c>
      <c r="V44" s="29" t="n">
        <f aca="false">R44*U44</f>
        <v>594.326897401081</v>
      </c>
      <c r="W44" s="26" t="n">
        <f aca="false">T44*U44</f>
        <v>0.0397224298583744</v>
      </c>
    </row>
    <row r="45" customFormat="false" ht="15" hidden="false" customHeight="true" outlineLevel="0" collapsed="false">
      <c r="A45" s="25" t="n">
        <f aca="false">A44+1</f>
        <v>43</v>
      </c>
      <c r="B45" s="26" t="n">
        <f aca="false">A45*CycleLength</f>
        <v>3.30769230769231</v>
      </c>
      <c r="C45" s="27" t="n">
        <f aca="false">MAX(0,1-I45-F45-G45-D45)</f>
        <v>0.187622717760102</v>
      </c>
      <c r="D45" s="27" t="n">
        <f aca="false">IF(A45=1, 0, F44*M45*(1-(1-(1-qx)^(1/13)))+D44*(1-pReResp)*(1-(1-(1-qx)^(1/13))))</f>
        <v>0.422671587663427</v>
      </c>
      <c r="E45" s="27" t="n">
        <f aca="false">C45+D45</f>
        <v>0.610294305423529</v>
      </c>
      <c r="F45" s="27" t="n">
        <f aca="false">IF(A45=1, C44*pRespEsk*(1-(1-(1-qx)^(1/13))), MAX(0, F44*(1-M45)*(1-(1-(1-qx)^(1/13)))+D44*pReResp*(1-(1-(1-qx)^(1/13)))))</f>
        <v>0.26666760928116</v>
      </c>
      <c r="G45" s="27" t="n">
        <f aca="false">IF(A45=1, 0, MAX(0, G44*(1-pRelComp)*(1-(1-(1-qx)^(1/13)))+C44*pReResp*(1-(1-(1-qx)^(1/13)))))</f>
        <v>0.117755541203806</v>
      </c>
      <c r="H45" s="27" t="n">
        <f aca="false">F45+G45</f>
        <v>0.384423150484966</v>
      </c>
      <c r="I45" s="27" t="n">
        <f aca="false">I44+(1-I44)*(1-(1-qx)^(1/13))</f>
        <v>0.00528254409150508</v>
      </c>
      <c r="J45" s="27" t="n">
        <f aca="false">E45+H45+I45</f>
        <v>1</v>
      </c>
      <c r="K45" s="27" t="n">
        <f aca="false">F45</f>
        <v>0.26666760928116</v>
      </c>
      <c r="L45" s="27" t="n">
        <f aca="false">IF(A45&lt;TreatCycles,1,MAX(0,L44*(1-Waning)))</f>
        <v>0.00338580857061844</v>
      </c>
      <c r="M45" s="27" t="n">
        <f aca="false">pRelEsk+(1-L45)*(pRelComp-pRelEsk)</f>
        <v>0.127251978960017</v>
      </c>
      <c r="N45" s="25" t="n">
        <f aca="false">IF(A45&gt;=TreatCycles,0,IF(A45=1,Sess1,Sess2)*K45)</f>
        <v>0</v>
      </c>
      <c r="O45" s="29" t="n">
        <f aca="false">N45*(PriceSession+AdminSession)</f>
        <v>0</v>
      </c>
      <c r="P45" s="29" t="n">
        <f aca="false">(1-I45)*cOral</f>
        <v>3.97886982363398</v>
      </c>
      <c r="Q45" s="29" t="n">
        <f aca="false">E45*cDep+H45*cResp</f>
        <v>661.133815994593</v>
      </c>
      <c r="R45" s="29" t="n">
        <f aca="false">O45+P45+Q45</f>
        <v>665.112685818227</v>
      </c>
      <c r="S45" s="26" t="n">
        <f aca="false">(E45*uDep+H45*uResp)*CycleLength</f>
        <v>0.0444455842245744</v>
      </c>
      <c r="T45" s="26" t="n">
        <f aca="false">(S45+S46)/2</f>
        <v>0.0444407773736979</v>
      </c>
      <c r="U45" s="26" t="n">
        <f aca="false">1/(1+DiscRate)^(B45+CycleLength/2)</f>
        <v>0.891265900870928</v>
      </c>
      <c r="V45" s="29" t="n">
        <f aca="false">R45*U45</f>
        <v>592.792257106465</v>
      </c>
      <c r="W45" s="26" t="n">
        <f aca="false">T45*U45</f>
        <v>0.0396085494813732</v>
      </c>
    </row>
    <row r="46" customFormat="false" ht="15" hidden="false" customHeight="true" outlineLevel="0" collapsed="false">
      <c r="A46" s="25" t="n">
        <f aca="false">A45+1</f>
        <v>44</v>
      </c>
      <c r="B46" s="26" t="n">
        <f aca="false">A46*CycleLength</f>
        <v>3.38461538461538</v>
      </c>
      <c r="C46" s="27" t="n">
        <f aca="false">MAX(0,1-I46-F46-G46-D46)</f>
        <v>0.187598206163762</v>
      </c>
      <c r="D46" s="27" t="n">
        <f aca="false">IF(A46=1, 0, F45*M46*(1-(1-(1-qx)^(1/13)))+D45*(1-pReResp)*(1-(1-(1-qx)^(1/13))))</f>
        <v>0.422747847145821</v>
      </c>
      <c r="E46" s="27" t="n">
        <f aca="false">C46+D46</f>
        <v>0.610346053309584</v>
      </c>
      <c r="F46" s="27" t="n">
        <f aca="false">IF(A46=1, C45*pRespEsk*(1-(1-(1-qx)^(1/13))), MAX(0, F45*(1-M46)*(1-(1-(1-qx)^(1/13)))+D45*pReResp*(1-(1-(1-qx)^(1/13)))))</f>
        <v>0.266506445334749</v>
      </c>
      <c r="G46" s="27" t="n">
        <f aca="false">IF(A46=1, 0, MAX(0, G45*(1-pRelComp)*(1-(1-(1-qx)^(1/13)))+C45*pReResp*(1-(1-(1-qx)^(1/13)))))</f>
        <v>0.117742440000068</v>
      </c>
      <c r="H46" s="27" t="n">
        <f aca="false">F46+G46</f>
        <v>0.384248885334817</v>
      </c>
      <c r="I46" s="27" t="n">
        <f aca="false">I45+(1-I45)*(1-(1-qx)^(1/13))</f>
        <v>0.0054050613555997</v>
      </c>
      <c r="J46" s="27" t="n">
        <f aca="false">E46+H46+I46</f>
        <v>1</v>
      </c>
      <c r="K46" s="27" t="n">
        <f aca="false">F46</f>
        <v>0.266506445334749</v>
      </c>
      <c r="L46" s="27" t="n">
        <f aca="false">IF(A46&lt;TreatCycles,1,MAX(0,L45*(1-Waning)))</f>
        <v>0.00287793728502567</v>
      </c>
      <c r="M46" s="27" t="n">
        <f aca="false">pRelEsk+(1-L46)*(pRelComp-pRelEsk)</f>
        <v>0.127282282116014</v>
      </c>
      <c r="N46" s="25" t="n">
        <f aca="false">IF(A46&gt;=TreatCycles,0,IF(A46=1,Sess1,Sess2)*K46)</f>
        <v>0</v>
      </c>
      <c r="O46" s="29" t="n">
        <f aca="false">N46*(PriceSession+AdminSession)</f>
        <v>0</v>
      </c>
      <c r="P46" s="29" t="n">
        <f aca="false">(1-I46)*cOral</f>
        <v>3.9783797545776</v>
      </c>
      <c r="Q46" s="29" t="n">
        <f aca="false">E46*cDep+H46*cResp</f>
        <v>661.155949438302</v>
      </c>
      <c r="R46" s="29" t="n">
        <f aca="false">O46+P46+Q46</f>
        <v>665.13432919288</v>
      </c>
      <c r="S46" s="26" t="n">
        <f aca="false">(E46*uDep+H46*uResp)*CycleLength</f>
        <v>0.0444359705228213</v>
      </c>
      <c r="T46" s="26" t="n">
        <f aca="false">(S46+S47)/2</f>
        <v>0.0444314815458286</v>
      </c>
      <c r="U46" s="26" t="n">
        <f aca="false">1/(1+DiscRate)^(B46+CycleLength/2)</f>
        <v>0.88891049425311</v>
      </c>
      <c r="V46" s="29" t="n">
        <f aca="false">R46*U46</f>
        <v>591.244885307553</v>
      </c>
      <c r="W46" s="26" t="n">
        <f aca="false">T46*U46</f>
        <v>0.0394956102213004</v>
      </c>
    </row>
    <row r="47" customFormat="false" ht="15" hidden="false" customHeight="true" outlineLevel="0" collapsed="false">
      <c r="A47" s="25" t="n">
        <f aca="false">A46+1</f>
        <v>45</v>
      </c>
      <c r="B47" s="26" t="n">
        <f aca="false">A47*CycleLength</f>
        <v>3.46153846153846</v>
      </c>
      <c r="C47" s="27" t="n">
        <f aca="false">MAX(0,1-I47-F47-G47-D47)</f>
        <v>0.187573988677494</v>
      </c>
      <c r="D47" s="27" t="n">
        <f aca="false">IF(A47=1, 0, F46*M47*(1-(1-(1-qx)^(1/13)))+D46*(1-pReResp)*(1-(1-(1-qx)^(1/13))))</f>
        <v>0.422804350182941</v>
      </c>
      <c r="E47" s="27" t="n">
        <f aca="false">C47+D47</f>
        <v>0.610378338860435</v>
      </c>
      <c r="F47" s="27" t="n">
        <f aca="false">IF(A47=1, C46*pRespEsk*(1-(1-(1-qx)^(1/13))), MAX(0, F46*(1-M47)*(1-(1-(1-qx)^(1/13)))+D46*pReResp*(1-(1-(1-qx)^(1/13)))))</f>
        <v>0.266365048291116</v>
      </c>
      <c r="G47" s="27" t="n">
        <f aca="false">IF(A47=1, 0, MAX(0, G46*(1-pRelComp)*(1-(1-(1-qx)^(1/13)))+C46*pReResp*(1-(1-(1-qx)^(1/13)))))</f>
        <v>0.11772904931895</v>
      </c>
      <c r="H47" s="27" t="n">
        <f aca="false">F47+G47</f>
        <v>0.384094097610066</v>
      </c>
      <c r="I47" s="27" t="n">
        <f aca="false">I46+(1-I46)*(1-(1-qx)^(1/13))</f>
        <v>0.00552756352949969</v>
      </c>
      <c r="J47" s="27" t="n">
        <f aca="false">E47+H47+I47</f>
        <v>1</v>
      </c>
      <c r="K47" s="27" t="n">
        <f aca="false">F47</f>
        <v>0.266365048291116</v>
      </c>
      <c r="L47" s="27" t="n">
        <f aca="false">IF(A47&lt;TreatCycles,1,MAX(0,L46*(1-Waning)))</f>
        <v>0.00244624669227182</v>
      </c>
      <c r="M47" s="27" t="n">
        <f aca="false">pRelEsk+(1-L47)*(pRelComp-pRelEsk)</f>
        <v>0.127308039798612</v>
      </c>
      <c r="N47" s="25" t="n">
        <f aca="false">IF(A47&gt;=TreatCycles,0,IF(A47=1,Sess1,Sess2)*K47)</f>
        <v>0</v>
      </c>
      <c r="O47" s="29" t="n">
        <f aca="false">N47*(PriceSession+AdminSession)</f>
        <v>0</v>
      </c>
      <c r="P47" s="29" t="n">
        <f aca="false">(1-I47)*cOral</f>
        <v>3.977889745882</v>
      </c>
      <c r="Q47" s="29" t="n">
        <f aca="false">E47*cDep+H47*cResp</f>
        <v>661.162204091277</v>
      </c>
      <c r="R47" s="29" t="n">
        <f aca="false">O47+P47+Q47</f>
        <v>665.140093837159</v>
      </c>
      <c r="S47" s="26" t="n">
        <f aca="false">(E47*uDep+H47*uResp)*CycleLength</f>
        <v>0.0444269925688359</v>
      </c>
      <c r="T47" s="26" t="n">
        <f aca="false">(S47+S48)/2</f>
        <v>0.0444227725153584</v>
      </c>
      <c r="U47" s="26" t="n">
        <f aca="false">1/(1+DiscRate)^(B47+CycleLength/2)</f>
        <v>0.886561312422226</v>
      </c>
      <c r="V47" s="29" t="n">
        <f aca="false">R47*U47</f>
        <v>589.687474536914</v>
      </c>
      <c r="W47" s="26" t="n">
        <f aca="false">T47*U47</f>
        <v>0.0393835115026501</v>
      </c>
    </row>
    <row r="48" customFormat="false" ht="15" hidden="false" customHeight="true" outlineLevel="0" collapsed="false">
      <c r="A48" s="25" t="n">
        <f aca="false">A47+1</f>
        <v>46</v>
      </c>
      <c r="B48" s="26" t="n">
        <f aca="false">A48*CycleLength</f>
        <v>3.53846153846154</v>
      </c>
      <c r="C48" s="27" t="n">
        <f aca="false">MAX(0,1-I48-F48-G48-D48)</f>
        <v>0.187550004848657</v>
      </c>
      <c r="D48" s="27" t="n">
        <f aca="false">IF(A48=1, 0, F47*M48*(1-(1-(1-qx)^(1/13)))+D47*(1-pReResp)*(1-(1-(1-qx)^(1/13))))</f>
        <v>0.422844158897287</v>
      </c>
      <c r="E48" s="27" t="n">
        <f aca="false">C48+D48</f>
        <v>0.610394163745943</v>
      </c>
      <c r="F48" s="27" t="n">
        <f aca="false">IF(A48=1, C47*pRespEsk*(1-(1-(1-qx)^(1/13))), MAX(0, F47*(1-M48)*(1-(1-(1-qx)^(1/13)))+D47*pReResp*(1-(1-(1-qx)^(1/13)))))</f>
        <v>0.266240356026475</v>
      </c>
      <c r="G48" s="27" t="n">
        <f aca="false">IF(A48=1, 0, MAX(0, G47*(1-pRelComp)*(1-(1-(1-qx)^(1/13)))+C47*pReResp*(1-(1-(1-qx)^(1/13)))))</f>
        <v>0.117715429612518</v>
      </c>
      <c r="H48" s="27" t="n">
        <f aca="false">F48+G48</f>
        <v>0.383955785638993</v>
      </c>
      <c r="I48" s="27" t="n">
        <f aca="false">I47+(1-I47)*(1-(1-qx)^(1/13))</f>
        <v>0.0056500506150637</v>
      </c>
      <c r="J48" s="27" t="n">
        <f aca="false">E48+H48+I48</f>
        <v>1</v>
      </c>
      <c r="K48" s="27" t="n">
        <f aca="false">F48</f>
        <v>0.266240356026475</v>
      </c>
      <c r="L48" s="27" t="n">
        <f aca="false">IF(A48&lt;TreatCycles,1,MAX(0,L47*(1-Waning)))</f>
        <v>0.00207930968843105</v>
      </c>
      <c r="M48" s="27" t="n">
        <f aca="false">pRelEsk+(1-L48)*(pRelComp-pRelEsk)</f>
        <v>0.12732993382882</v>
      </c>
      <c r="N48" s="25" t="n">
        <f aca="false">IF(A48&gt;=TreatCycles,0,IF(A48=1,Sess1,Sess2)*K48)</f>
        <v>0</v>
      </c>
      <c r="O48" s="29" t="n">
        <f aca="false">N48*(PriceSession+AdminSession)</f>
        <v>0</v>
      </c>
      <c r="P48" s="29" t="n">
        <f aca="false">(1-I48)*cOral</f>
        <v>3.97739979753975</v>
      </c>
      <c r="Q48" s="29" t="n">
        <f aca="false">E48*cDep+H48*cResp</f>
        <v>661.155029315819</v>
      </c>
      <c r="R48" s="29" t="n">
        <f aca="false">O48+P48+Q48</f>
        <v>665.132429113359</v>
      </c>
      <c r="S48" s="26" t="n">
        <f aca="false">(E48*uDep+H48*uResp)*CycleLength</f>
        <v>0.0444185524618809</v>
      </c>
      <c r="T48" s="26" t="n">
        <f aca="false">(S48+S49)/2</f>
        <v>0.0444145599721299</v>
      </c>
      <c r="U48" s="26" t="n">
        <f aca="false">1/(1+DiscRate)^(B48+CycleLength/2)</f>
        <v>0.884218338927626</v>
      </c>
      <c r="V48" s="29" t="n">
        <f aca="false">R48*U48</f>
        <v>588.122291637511</v>
      </c>
      <c r="W48" s="26" t="n">
        <f aca="false">T48*U48</f>
        <v>0.0392721684427581</v>
      </c>
    </row>
    <row r="49" customFormat="false" ht="15" hidden="false" customHeight="true" outlineLevel="0" collapsed="false">
      <c r="A49" s="25" t="n">
        <f aca="false">A48+1</f>
        <v>47</v>
      </c>
      <c r="B49" s="26" t="n">
        <f aca="false">A49*CycleLength</f>
        <v>3.61538461538461</v>
      </c>
      <c r="C49" s="27" t="n">
        <f aca="false">MAX(0,1-I49-F49-G49-D49)</f>
        <v>0.187526206771584</v>
      </c>
      <c r="D49" s="27" t="n">
        <f aca="false">IF(A49=1, 0, F48*M49*(1-(1-(1-qx)^(1/13)))+D48*(1-pReResp)*(1-(1-(1-qx)^(1/13))))</f>
        <v>0.422869857404296</v>
      </c>
      <c r="E49" s="27" t="n">
        <f aca="false">C49+D49</f>
        <v>0.610396064175879</v>
      </c>
      <c r="F49" s="27" t="n">
        <f aca="false">IF(A49=1, C48*pRespEsk*(1-(1-(1-qx)^(1/13))), MAX(0, F48*(1-M49)*(1-(1-(1-qx)^(1/13)))+D48*pReResp*(1-(1-(1-qx)^(1/13)))))</f>
        <v>0.266129784424099</v>
      </c>
      <c r="G49" s="27" t="n">
        <f aca="false">IF(A49=1, 0, MAX(0, G48*(1-pRelComp)*(1-(1-(1-qx)^(1/13)))+C48*pReResp*(1-(1-(1-qx)^(1/13)))))</f>
        <v>0.117701628785872</v>
      </c>
      <c r="H49" s="27" t="n">
        <f aca="false">F49+G49</f>
        <v>0.383831413209971</v>
      </c>
      <c r="I49" s="27" t="n">
        <f aca="false">I48+(1-I48)*(1-(1-qx)^(1/13))</f>
        <v>0.00577252261415011</v>
      </c>
      <c r="J49" s="27" t="n">
        <f aca="false">E49+H49+I49</f>
        <v>1</v>
      </c>
      <c r="K49" s="27" t="n">
        <f aca="false">F49</f>
        <v>0.266129784424099</v>
      </c>
      <c r="L49" s="27" t="n">
        <f aca="false">IF(A49&lt;TreatCycles,1,MAX(0,L48*(1-Waning)))</f>
        <v>0.00176741323516639</v>
      </c>
      <c r="M49" s="27" t="n">
        <f aca="false">pRelEsk+(1-L49)*(pRelComp-pRelEsk)</f>
        <v>0.127348543754497</v>
      </c>
      <c r="N49" s="25" t="n">
        <f aca="false">IF(A49&gt;=TreatCycles,0,IF(A49=1,Sess1,Sess2)*K49)</f>
        <v>0</v>
      </c>
      <c r="O49" s="29" t="n">
        <f aca="false">N49*(PriceSession+AdminSession)</f>
        <v>0</v>
      </c>
      <c r="P49" s="29" t="n">
        <f aca="false">(1-I49)*cOral</f>
        <v>3.9769099095434</v>
      </c>
      <c r="Q49" s="29" t="n">
        <f aca="false">E49*cDep+H49*cResp</f>
        <v>661.136494658797</v>
      </c>
      <c r="R49" s="29" t="n">
        <f aca="false">O49+P49+Q49</f>
        <v>665.11340456834</v>
      </c>
      <c r="S49" s="26" t="n">
        <f aca="false">(E49*uDep+H49*uResp)*CycleLength</f>
        <v>0.044410567482379</v>
      </c>
      <c r="T49" s="26" t="n">
        <f aca="false">(S49+S50)/2</f>
        <v>0.0444067676041416</v>
      </c>
      <c r="U49" s="26" t="n">
        <f aca="false">1/(1+DiscRate)^(B49+CycleLength/2)</f>
        <v>0.881881557362134</v>
      </c>
      <c r="V49" s="29" t="n">
        <f aca="false">R49*U49</f>
        <v>586.551245043159</v>
      </c>
      <c r="W49" s="26" t="n">
        <f aca="false">T49*U49</f>
        <v>0.0391615093721587</v>
      </c>
    </row>
    <row r="50" customFormat="false" ht="15" hidden="false" customHeight="true" outlineLevel="0" collapsed="false">
      <c r="A50" s="25" t="n">
        <f aca="false">A49+1</f>
        <v>48</v>
      </c>
      <c r="B50" s="26" t="n">
        <f aca="false">A50*CycleLength</f>
        <v>3.69230769230769</v>
      </c>
      <c r="C50" s="27" t="n">
        <f aca="false">MAX(0,1-I50-F50-G50-D50)</f>
        <v>0.187502556483432</v>
      </c>
      <c r="D50" s="27" t="n">
        <f aca="false">IF(A50=1, 0, F49*M50*(1-(1-(1-qx)^(1/13)))+D49*(1-pReResp)*(1-(1-(1-qx)^(1/13))))</f>
        <v>0.422883626959207</v>
      </c>
      <c r="E50" s="27" t="n">
        <f aca="false">C50+D50</f>
        <v>0.610386183442639</v>
      </c>
      <c r="F50" s="27" t="n">
        <f aca="false">IF(A50=1, C49*pRespEsk*(1-(1-(1-qx)^(1/13))), MAX(0, F49*(1-M50)*(1-(1-(1-qx)^(1/13)))+D49*pReResp*(1-(1-(1-qx)^(1/13)))))</f>
        <v>0.266031152227462</v>
      </c>
      <c r="G50" s="27" t="n">
        <f aca="false">IF(A50=1, 0, MAX(0, G49*(1-pRelComp)*(1-(1-(1-qx)^(1/13)))+C49*pReResp*(1-(1-(1-qx)^(1/13)))))</f>
        <v>0.117687684801282</v>
      </c>
      <c r="H50" s="27" t="n">
        <f aca="false">F50+G50</f>
        <v>0.383718837028744</v>
      </c>
      <c r="I50" s="27" t="n">
        <f aca="false">I49+(1-I49)*(1-(1-qx)^(1/13))</f>
        <v>0.0058949795286171</v>
      </c>
      <c r="J50" s="27" t="n">
        <f aca="false">E50+H50+I50</f>
        <v>1</v>
      </c>
      <c r="K50" s="27" t="n">
        <f aca="false">F50</f>
        <v>0.266031152227462</v>
      </c>
      <c r="L50" s="27" t="n">
        <f aca="false">IF(A50&lt;TreatCycles,1,MAX(0,L49*(1-Waning)))</f>
        <v>0.00150230124989143</v>
      </c>
      <c r="M50" s="27" t="n">
        <f aca="false">pRelEsk+(1-L50)*(pRelComp-pRelEsk)</f>
        <v>0.127364362191323</v>
      </c>
      <c r="N50" s="25" t="n">
        <f aca="false">IF(A50&gt;=TreatCycles,0,IF(A50=1,Sess1,Sess2)*K50)</f>
        <v>0</v>
      </c>
      <c r="O50" s="29" t="n">
        <f aca="false">N50*(PriceSession+AdminSession)</f>
        <v>0</v>
      </c>
      <c r="P50" s="29" t="n">
        <f aca="false">(1-I50)*cOral</f>
        <v>3.97642008188553</v>
      </c>
      <c r="Q50" s="29" t="n">
        <f aca="false">E50*cDep+H50*cResp</f>
        <v>661.1083490465</v>
      </c>
      <c r="R50" s="29" t="n">
        <f aca="false">O50+P50+Q50</f>
        <v>665.084769128386</v>
      </c>
      <c r="S50" s="26" t="n">
        <f aca="false">(E50*uDep+H50*uResp)*CycleLength</f>
        <v>0.0444029677259041</v>
      </c>
      <c r="T50" s="26" t="n">
        <f aca="false">(S50+S51)/2</f>
        <v>0.0443993309162506</v>
      </c>
      <c r="U50" s="26" t="n">
        <f aca="false">1/(1+DiscRate)^(B50+CycleLength/2)</f>
        <v>0.879550951361934</v>
      </c>
      <c r="V50" s="29" t="n">
        <f aca="false">R50*U50</f>
        <v>584.975941423204</v>
      </c>
      <c r="W50" s="26" t="n">
        <f aca="false">T50*U50</f>
        <v>0.0390514737472215</v>
      </c>
    </row>
    <row r="51" customFormat="false" ht="15" hidden="false" customHeight="true" outlineLevel="0" collapsed="false">
      <c r="A51" s="25" t="n">
        <f aca="false">A50+1</f>
        <v>49</v>
      </c>
      <c r="B51" s="26" t="n">
        <f aca="false">A51*CycleLength</f>
        <v>3.76923076923077</v>
      </c>
      <c r="C51" s="27" t="n">
        <f aca="false">MAX(0,1-I51-F51-G51-D51)</f>
        <v>0.187479023900537</v>
      </c>
      <c r="D51" s="27" t="n">
        <f aca="false">IF(A51=1, 0, F50*M51*(1-(1-(1-qx)^(1/13)))+D50*(1-pReResp)*(1-(1-(1-qx)^(1/13))))</f>
        <v>0.422887309236744</v>
      </c>
      <c r="E51" s="27" t="n">
        <f aca="false">C51+D51</f>
        <v>0.610366333137281</v>
      </c>
      <c r="F51" s="27" t="n">
        <f aca="false">IF(A51=1, C50*pRespEsk*(1-(1-(1-qx)^(1/13))), MAX(0, F50*(1-M51)*(1-(1-(1-qx)^(1/13)))+D50*pReResp*(1-(1-(1-qx)^(1/13)))))</f>
        <v>0.265942617760554</v>
      </c>
      <c r="G51" s="27" t="n">
        <f aca="false">IF(A51=1, 0, MAX(0, G50*(1-pRelComp)*(1-(1-(1-qx)^(1/13)))+C50*pReResp*(1-(1-(1-qx)^(1/13)))))</f>
        <v>0.117673627741843</v>
      </c>
      <c r="H51" s="27" t="n">
        <f aca="false">F51+G51</f>
        <v>0.383616245502397</v>
      </c>
      <c r="I51" s="27" t="n">
        <f aca="false">I50+(1-I50)*(1-(1-qx)^(1/13))</f>
        <v>0.0060174213603226</v>
      </c>
      <c r="J51" s="27" t="n">
        <f aca="false">E51+H51+I51</f>
        <v>1</v>
      </c>
      <c r="K51" s="27" t="n">
        <f aca="false">F51</f>
        <v>0.265942617760554</v>
      </c>
      <c r="L51" s="27" t="n">
        <f aca="false">IF(A51&lt;TreatCycles,1,MAX(0,L50*(1-Waning)))</f>
        <v>0.00127695606240772</v>
      </c>
      <c r="M51" s="27" t="n">
        <f aca="false">pRelEsk+(1-L51)*(pRelComp-pRelEsk)</f>
        <v>0.127377807862624</v>
      </c>
      <c r="N51" s="25" t="n">
        <f aca="false">IF(A51&gt;=TreatCycles,0,IF(A51=1,Sess1,Sess2)*K51)</f>
        <v>0</v>
      </c>
      <c r="O51" s="29" t="n">
        <f aca="false">N51*(PriceSession+AdminSession)</f>
        <v>0</v>
      </c>
      <c r="P51" s="29" t="n">
        <f aca="false">(1-I51)*cOral</f>
        <v>3.97593031455871</v>
      </c>
      <c r="Q51" s="29" t="n">
        <f aca="false">E51*cDep+H51*cResp</f>
        <v>661.072070736928</v>
      </c>
      <c r="R51" s="29" t="n">
        <f aca="false">O51+P51+Q51</f>
        <v>665.048001051487</v>
      </c>
      <c r="S51" s="26" t="n">
        <f aca="false">(E51*uDep+H51*uResp)*CycleLength</f>
        <v>0.044395694106597</v>
      </c>
      <c r="T51" s="26" t="n">
        <f aca="false">(S51+S52)/2</f>
        <v>0.0443921953896349</v>
      </c>
      <c r="U51" s="26" t="n">
        <f aca="false">1/(1+DiscRate)^(B51+CycleLength/2)</f>
        <v>0.877226504606457</v>
      </c>
      <c r="V51" s="29" t="n">
        <f aca="false">R51*U51</f>
        <v>583.397733357907</v>
      </c>
      <c r="W51" s="26" t="n">
        <f aca="false">T51*U51</f>
        <v>0.0389420103934563</v>
      </c>
    </row>
    <row r="52" customFormat="false" ht="15" hidden="false" customHeight="true" outlineLevel="0" collapsed="false">
      <c r="A52" s="25" t="n">
        <f aca="false">A51+1</f>
        <v>50</v>
      </c>
      <c r="B52" s="26" t="n">
        <f aca="false">A52*CycleLength</f>
        <v>3.84615384615385</v>
      </c>
      <c r="C52" s="27" t="n">
        <f aca="false">MAX(0,1-I52-F52-G52-D52)</f>
        <v>0.187455585183073</v>
      </c>
      <c r="D52" s="27" t="n">
        <f aca="false">IF(A52=1, 0, F51*M52*(1-(1-(1-qx)^(1/13)))+D51*(1-pReResp)*(1-(1-(1-qx)^(1/13))))</f>
        <v>0.422882459613624</v>
      </c>
      <c r="E52" s="27" t="n">
        <f aca="false">C52+D52</f>
        <v>0.610338044796697</v>
      </c>
      <c r="F52" s="27" t="n">
        <f aca="false">IF(A52=1, C51*pRespEsk*(1-(1-(1-qx)^(1/13))), MAX(0, F51*(1-M52)*(1-(1-(1-qx)^(1/13)))+D51*pReResp*(1-(1-(1-qx)^(1/13)))))</f>
        <v>0.265862625645368</v>
      </c>
      <c r="G52" s="27" t="n">
        <f aca="false">IF(A52=1, 0, MAX(0, G51*(1-pRelComp)*(1-(1-(1-qx)^(1/13)))+C51*pReResp*(1-(1-(1-qx)^(1/13)))))</f>
        <v>0.117659481446811</v>
      </c>
      <c r="H52" s="27" t="n">
        <f aca="false">F52+G52</f>
        <v>0.383522107092179</v>
      </c>
      <c r="I52" s="27" t="n">
        <f aca="false">I51+(1-I51)*(1-(1-qx)^(1/13))</f>
        <v>0.00613984811112434</v>
      </c>
      <c r="J52" s="27" t="n">
        <f aca="false">E52+H52+I52</f>
        <v>1</v>
      </c>
      <c r="K52" s="27" t="n">
        <f aca="false">F52</f>
        <v>0.265862625645368</v>
      </c>
      <c r="L52" s="27" t="n">
        <f aca="false">IF(A52&lt;TreatCycles,1,MAX(0,L51*(1-Waning)))</f>
        <v>0.00108541265304656</v>
      </c>
      <c r="M52" s="27" t="n">
        <f aca="false">pRelEsk+(1-L52)*(pRelComp-pRelEsk)</f>
        <v>0.127389236683231</v>
      </c>
      <c r="N52" s="25" t="n">
        <f aca="false">IF(A52&gt;=TreatCycles,0,IF(A52=1,Sess1,Sess2)*K52)</f>
        <v>0</v>
      </c>
      <c r="O52" s="29" t="n">
        <f aca="false">N52*(PriceSession+AdminSession)</f>
        <v>0</v>
      </c>
      <c r="P52" s="29" t="n">
        <f aca="false">(1-I52)*cOral</f>
        <v>3.9754406075555</v>
      </c>
      <c r="Q52" s="29" t="n">
        <f aca="false">E52*cDep+H52*cResp</f>
        <v>661.02890946388</v>
      </c>
      <c r="R52" s="29" t="n">
        <f aca="false">O52+P52+Q52</f>
        <v>665.004350071436</v>
      </c>
      <c r="S52" s="26" t="n">
        <f aca="false">(E52*uDep+H52*uResp)*CycleLength</f>
        <v>0.0443886966726727</v>
      </c>
      <c r="T52" s="26" t="n">
        <f aca="false">(S52+S53)/2</f>
        <v>0.044385314929025</v>
      </c>
      <c r="U52" s="26" t="n">
        <f aca="false">1/(1+DiscRate)^(B52+CycleLength/2)</f>
        <v>0.874908200818265</v>
      </c>
      <c r="V52" s="29" t="n">
        <f aca="false">R52*U52</f>
        <v>581.817759457319</v>
      </c>
      <c r="W52" s="26" t="n">
        <f aca="false">T52*U52</f>
        <v>0.0388330760273053</v>
      </c>
    </row>
    <row r="53" customFormat="false" ht="15" hidden="false" customHeight="true" outlineLevel="0" collapsed="false">
      <c r="A53" s="25" t="n">
        <f aca="false">A52+1</f>
        <v>51</v>
      </c>
      <c r="B53" s="26" t="n">
        <f aca="false">A53*CycleLength</f>
        <v>3.92307692307692</v>
      </c>
      <c r="C53" s="27" t="n">
        <f aca="false">MAX(0,1-I53-F53-G53-D53)</f>
        <v>0.187432221439137</v>
      </c>
      <c r="D53" s="27" t="n">
        <f aca="false">IF(A53=1, 0, F52*M53*(1-(1-(1-qx)^(1/13)))+D52*(1-pReResp)*(1-(1-(1-qx)^(1/13))))</f>
        <v>0.422870392034197</v>
      </c>
      <c r="E53" s="27" t="n">
        <f aca="false">C53+D53</f>
        <v>0.610302613473334</v>
      </c>
      <c r="F53" s="27" t="n">
        <f aca="false">IF(A53=1, C52*pRespEsk*(1-(1-(1-qx)^(1/13))), MAX(0, F52*(1-M53)*(1-(1-(1-qx)^(1/13)))+D52*pReResp*(1-(1-(1-qx)^(1/13)))))</f>
        <v>0.265789861936268</v>
      </c>
      <c r="G53" s="27" t="n">
        <f aca="false">IF(A53=1, 0, MAX(0, G52*(1-pRelComp)*(1-(1-(1-qx)^(1/13)))+C52*pReResp*(1-(1-(1-qx)^(1/13)))))</f>
        <v>0.117645264807518</v>
      </c>
      <c r="H53" s="27" t="n">
        <f aca="false">F53+G53</f>
        <v>0.383435126743786</v>
      </c>
      <c r="I53" s="27" t="n">
        <f aca="false">I52+(1-I52)*(1-(1-qx)^(1/13))</f>
        <v>0.00626225978287979</v>
      </c>
      <c r="J53" s="27" t="n">
        <f aca="false">E53+H53+I53</f>
        <v>1</v>
      </c>
      <c r="K53" s="27" t="n">
        <f aca="false">F53</f>
        <v>0.265789861936268</v>
      </c>
      <c r="L53" s="27" t="n">
        <f aca="false">IF(A53&lt;TreatCycles,1,MAX(0,L52*(1-Waning)))</f>
        <v>0.000922600755089576</v>
      </c>
      <c r="M53" s="27" t="n">
        <f aca="false">pRelEsk+(1-L53)*(pRelComp-pRelEsk)</f>
        <v>0.127398951180746</v>
      </c>
      <c r="N53" s="25" t="n">
        <f aca="false">IF(A53&gt;=TreatCycles,0,IF(A53=1,Sess1,Sess2)*K53)</f>
        <v>0</v>
      </c>
      <c r="O53" s="29" t="n">
        <f aca="false">N53*(PriceSession+AdminSession)</f>
        <v>0</v>
      </c>
      <c r="P53" s="29" t="n">
        <f aca="false">(1-I53)*cOral</f>
        <v>3.97495096086848</v>
      </c>
      <c r="Q53" s="29" t="n">
        <f aca="false">E53*cDep+H53*cResp</f>
        <v>660.979921989849</v>
      </c>
      <c r="R53" s="29" t="n">
        <f aca="false">O53+P53+Q53</f>
        <v>664.954872950717</v>
      </c>
      <c r="S53" s="26" t="n">
        <f aca="false">(E53*uDep+H53*uResp)*CycleLength</f>
        <v>0.0443819331853773</v>
      </c>
      <c r="T53" s="26" t="n">
        <f aca="false">(S53+S54)/2</f>
        <v>0.0443786505527918</v>
      </c>
      <c r="U53" s="26" t="n">
        <f aca="false">1/(1+DiscRate)^(B53+CycleLength/2)</f>
        <v>0.872596023762935</v>
      </c>
      <c r="V53" s="29" t="n">
        <f aca="false">R53*U53</f>
        <v>580.236978118584</v>
      </c>
      <c r="W53" s="26" t="n">
        <f aca="false">T53*U53</f>
        <v>0.038724634012331</v>
      </c>
    </row>
    <row r="54" customFormat="false" ht="15" hidden="false" customHeight="true" outlineLevel="0" collapsed="false">
      <c r="A54" s="25" t="n">
        <f aca="false">A53+1</f>
        <v>52</v>
      </c>
      <c r="B54" s="26" t="n">
        <f aca="false">A54*CycleLength</f>
        <v>4</v>
      </c>
      <c r="C54" s="27" t="n">
        <f aca="false">MAX(0,1-I54-F54-G54-D54)</f>
        <v>0.187408917697798</v>
      </c>
      <c r="D54" s="27" t="n">
        <f aca="false">IF(A54=1, 0, F53*M54*(1-(1-(1-qx)^(1/13)))+D53*(1-pReResp)*(1-(1-(1-qx)^(1/13))))</f>
        <v>0.422852216792494</v>
      </c>
      <c r="E54" s="27" t="n">
        <f aca="false">C54+D54</f>
        <v>0.610261134490292</v>
      </c>
      <c r="F54" s="27" t="n">
        <f aca="false">IF(A54=1, C53*pRespEsk*(1-(1-(1-qx)^(1/13))), MAX(0, F53*(1-M54)*(1-(1-(1-qx)^(1/13)))+D53*pReResp*(1-(1-(1-qx)^(1/13)))))</f>
        <v>0.265723216337937</v>
      </c>
      <c r="G54" s="27" t="n">
        <f aca="false">IF(A54=1, 0, MAX(0, G53*(1-pRelComp)*(1-(1-(1-qx)^(1/13)))+C53*pReResp*(1-(1-(1-qx)^(1/13)))))</f>
        <v>0.117630992794325</v>
      </c>
      <c r="H54" s="27" t="n">
        <f aca="false">F54+G54</f>
        <v>0.383354209132262</v>
      </c>
      <c r="I54" s="27" t="n">
        <f aca="false">I53+(1-I53)*(1-(1-qx)^(1/13))</f>
        <v>0.0063846563774462</v>
      </c>
      <c r="J54" s="27" t="n">
        <f aca="false">E54+H54+I54</f>
        <v>1</v>
      </c>
      <c r="K54" s="27" t="n">
        <f aca="false">F54</f>
        <v>0.265723216337937</v>
      </c>
      <c r="L54" s="27" t="n">
        <f aca="false">IF(A54&lt;TreatCycles,1,MAX(0,L53*(1-Waning)))</f>
        <v>0.00078421064182614</v>
      </c>
      <c r="M54" s="27" t="n">
        <f aca="false">pRelEsk+(1-L54)*(pRelComp-pRelEsk)</f>
        <v>0.127407208503634</v>
      </c>
      <c r="N54" s="25" t="n">
        <f aca="false">IF(A54&gt;=TreatCycles,0,IF(A54=1,Sess1,Sess2)*K54)</f>
        <v>0</v>
      </c>
      <c r="O54" s="29" t="n">
        <f aca="false">N54*(PriceSession+AdminSession)</f>
        <v>0</v>
      </c>
      <c r="P54" s="29" t="n">
        <f aca="false">(1-I54)*cOral</f>
        <v>3.97446137449022</v>
      </c>
      <c r="Q54" s="29" t="n">
        <f aca="false">E54*cDep+H54*cResp</f>
        <v>660.926002098177</v>
      </c>
      <c r="R54" s="29" t="n">
        <f aca="false">O54+P54+Q54</f>
        <v>664.900463472667</v>
      </c>
      <c r="S54" s="26" t="n">
        <f aca="false">(E54*uDep+H54*uResp)*CycleLength</f>
        <v>0.0443753679202064</v>
      </c>
      <c r="T54" s="26" t="n">
        <f aca="false">(S54+S55)/2</f>
        <v>0.0443721692878849</v>
      </c>
      <c r="U54" s="26" t="n">
        <f aca="false">1/(1+DiscRate)^(B54+CycleLength/2)</f>
        <v>0.870289957248952</v>
      </c>
      <c r="V54" s="29" t="n">
        <f aca="false">R54*U54</f>
        <v>578.656195930436</v>
      </c>
      <c r="W54" s="26" t="n">
        <f aca="false">T54*U54</f>
        <v>0.0386166533125966</v>
      </c>
    </row>
    <row r="55" customFormat="false" ht="15" hidden="false" customHeight="true" outlineLevel="0" collapsed="false">
      <c r="A55" s="25" t="n">
        <f aca="false">A54+1</f>
        <v>53</v>
      </c>
      <c r="B55" s="26" t="n">
        <f aca="false">A55*CycleLength</f>
        <v>4.07692307692308</v>
      </c>
      <c r="C55" s="27" t="n">
        <f aca="false">MAX(0,1-I55-F55-G55-D55)</f>
        <v>0.187385662095293</v>
      </c>
      <c r="D55" s="27" t="n">
        <f aca="false">IF(A55=1, 0, F54*M55*(1-(1-(1-qx)^(1/13)))+D54*(1-pReResp)*(1-(1-(1-qx)^(1/13))))</f>
        <v>0.422828872354161</v>
      </c>
      <c r="E55" s="27" t="n">
        <f aca="false">C55+D55</f>
        <v>0.610214534449454</v>
      </c>
      <c r="F55" s="27" t="n">
        <f aca="false">IF(A55=1, C54*pRespEsk*(1-(1-(1-qx)^(1/13))), MAX(0, F54*(1-M55)*(1-(1-(1-qx)^(1/13)))+D54*pReResp*(1-(1-(1-qx)^(1/13)))))</f>
        <v>0.26566175038344</v>
      </c>
      <c r="G55" s="27" t="n">
        <f aca="false">IF(A55=1, 0, MAX(0, G54*(1-pRelComp)*(1-(1-(1-qx)^(1/13)))+C54*pReResp*(1-(1-(1-qx)^(1/13)))))</f>
        <v>0.117616677270425</v>
      </c>
      <c r="H55" s="27" t="n">
        <f aca="false">F55+G55</f>
        <v>0.383278427653865</v>
      </c>
      <c r="I55" s="27" t="n">
        <f aca="false">I54+(1-I54)*(1-(1-qx)^(1/13))</f>
        <v>0.00650703789668061</v>
      </c>
      <c r="J55" s="27" t="n">
        <f aca="false">E55+H55+I55</f>
        <v>1</v>
      </c>
      <c r="K55" s="27" t="n">
        <f aca="false">F55</f>
        <v>0.26566175038344</v>
      </c>
      <c r="L55" s="27" t="n">
        <f aca="false">IF(A55&lt;TreatCycles,1,MAX(0,L54*(1-Waning)))</f>
        <v>0.000666579045552219</v>
      </c>
      <c r="M55" s="27" t="n">
        <f aca="false">pRelEsk+(1-L55)*(pRelComp-pRelEsk)</f>
        <v>0.127414227228089</v>
      </c>
      <c r="N55" s="25" t="n">
        <f aca="false">IF(A55&gt;=TreatCycles,0,IF(A55=1,Sess1,Sess2)*K55)</f>
        <v>0</v>
      </c>
      <c r="O55" s="29" t="n">
        <f aca="false">N55*(PriceSession+AdminSession)</f>
        <v>0</v>
      </c>
      <c r="P55" s="29" t="n">
        <f aca="false">(1-I55)*cOral</f>
        <v>3.97397184841328</v>
      </c>
      <c r="Q55" s="29" t="n">
        <f aca="false">E55*cDep+H55*cResp</f>
        <v>660.867905895699</v>
      </c>
      <c r="R55" s="29" t="n">
        <f aca="false">O55+P55+Q55</f>
        <v>664.841877744112</v>
      </c>
      <c r="S55" s="26" t="n">
        <f aca="false">(E55*uDep+H55*uResp)*CycleLength</f>
        <v>0.0443689706555633</v>
      </c>
      <c r="T55" s="26" t="n">
        <f aca="false">(S55+S56)/2</f>
        <v>0.044365843237507</v>
      </c>
      <c r="U55" s="26" t="n">
        <f aca="false">1/(1+DiscRate)^(B55+CycleLength/2)</f>
        <v>0.867989985127588</v>
      </c>
      <c r="V55" s="29" t="n">
        <f aca="false">R55*U55</f>
        <v>577.07609157531</v>
      </c>
      <c r="W55" s="26" t="n">
        <f aca="false">T55*U55</f>
        <v>0.0385091076118966</v>
      </c>
    </row>
    <row r="56" customFormat="false" ht="15" hidden="false" customHeight="true" outlineLevel="0" collapsed="false">
      <c r="A56" s="25" t="n">
        <f aca="false">A55+1</f>
        <v>54</v>
      </c>
      <c r="B56" s="26" t="n">
        <f aca="false">A56*CycleLength</f>
        <v>4.15384615384615</v>
      </c>
      <c r="C56" s="27" t="n">
        <f aca="false">MAX(0,1-I56-F56-G56-D56)</f>
        <v>0.187362445230131</v>
      </c>
      <c r="D56" s="27" t="n">
        <f aca="false">IF(A56=1, 0, F55*M56*(1-(1-(1-qx)^(1/13)))+D55*(1-pReResp)*(1-(1-(1-qx)^(1/13))))</f>
        <v>0.42280115216409</v>
      </c>
      <c r="E56" s="27" t="n">
        <f aca="false">C56+D56</f>
        <v>0.610163597394221</v>
      </c>
      <c r="F56" s="27" t="n">
        <f aca="false">IF(A56=1, C55*pRespEsk*(1-(1-(1-qx)^(1/13))), MAX(0, F55*(1-M56)*(1-(1-(1-qx)^(1/13)))+D55*pReResp*(1-(1-(1-qx)^(1/13)))))</f>
        <v>0.2656046706266</v>
      </c>
      <c r="G56" s="27" t="n">
        <f aca="false">IF(A56=1, 0, MAX(0, G55*(1-pRelComp)*(1-(1-(1-qx)^(1/13)))+C55*pReResp*(1-(1-(1-qx)^(1/13)))))</f>
        <v>0.11760232763674</v>
      </c>
      <c r="H56" s="27" t="n">
        <f aca="false">F56+G56</f>
        <v>0.383206998263339</v>
      </c>
      <c r="I56" s="27" t="n">
        <f aca="false">I55+(1-I55)*(1-(1-qx)^(1/13))</f>
        <v>0.00662940434243981</v>
      </c>
      <c r="J56" s="27" t="n">
        <f aca="false">E56+H56+I56</f>
        <v>1</v>
      </c>
      <c r="K56" s="27" t="n">
        <f aca="false">F56</f>
        <v>0.2656046706266</v>
      </c>
      <c r="L56" s="27" t="n">
        <f aca="false">IF(A56&lt;TreatCycles,1,MAX(0,L55*(1-Waning)))</f>
        <v>0.000566592188719386</v>
      </c>
      <c r="M56" s="27" t="n">
        <f aca="false">pRelEsk+(1-L56)*(pRelComp-pRelEsk)</f>
        <v>0.127420193143876</v>
      </c>
      <c r="N56" s="25" t="n">
        <f aca="false">IF(A56&gt;=TreatCycles,0,IF(A56=1,Sess1,Sess2)*K56)</f>
        <v>0</v>
      </c>
      <c r="O56" s="29" t="n">
        <f aca="false">N56*(PriceSession+AdminSession)</f>
        <v>0</v>
      </c>
      <c r="P56" s="29" t="n">
        <f aca="false">(1-I56)*cOral</f>
        <v>3.97348238263024</v>
      </c>
      <c r="Q56" s="29" t="n">
        <f aca="false">E56*cDep+H56*cResp</f>
        <v>660.806273161524</v>
      </c>
      <c r="R56" s="29" t="n">
        <f aca="false">O56+P56+Q56</f>
        <v>664.779755544154</v>
      </c>
      <c r="S56" s="26" t="n">
        <f aca="false">(E56*uDep+H56*uResp)*CycleLength</f>
        <v>0.0443627158194506</v>
      </c>
      <c r="T56" s="26" t="n">
        <f aca="false">(S56+S57)/2</f>
        <v>0.0443596487944202</v>
      </c>
      <c r="U56" s="26" t="n">
        <f aca="false">1/(1+DiscRate)^(B56+CycleLength/2)</f>
        <v>0.865696091292795</v>
      </c>
      <c r="V56" s="29" t="n">
        <f aca="false">R56*U56</f>
        <v>575.497235945154</v>
      </c>
      <c r="W56" s="26" t="n">
        <f aca="false">T56*U56</f>
        <v>0.0384019745724507</v>
      </c>
    </row>
    <row r="57" customFormat="false" ht="15" hidden="false" customHeight="true" outlineLevel="0" collapsed="false">
      <c r="A57" s="25" t="n">
        <f aca="false">A56+1</f>
        <v>55</v>
      </c>
      <c r="B57" s="26" t="n">
        <f aca="false">A57*CycleLength</f>
        <v>4.23076923076923</v>
      </c>
      <c r="C57" s="27" t="n">
        <f aca="false">MAX(0,1-I57-F57-G57-D57)</f>
        <v>0.18733925965204</v>
      </c>
      <c r="D57" s="27" t="n">
        <f aca="false">IF(A57=1, 0, F56*M57*(1-(1-(1-qx)^(1/13)))+D56*(1-pReResp)*(1-(1-(1-qx)^(1/13))))</f>
        <v>0.422769727235436</v>
      </c>
      <c r="E57" s="27" t="n">
        <f aca="false">C57+D57</f>
        <v>0.610108986887477</v>
      </c>
      <c r="F57" s="27" t="n">
        <f aca="false">IF(A57=1, C56*pRespEsk*(1-(1-(1-qx)^(1/13))), MAX(0, F56*(1-M57)*(1-(1-(1-qx)^(1/13)))+D56*pReResp*(1-(1-(1-qx)^(1/13)))))</f>
        <v>0.265551306052974</v>
      </c>
      <c r="G57" s="27" t="n">
        <f aca="false">IF(A57=1, 0, MAX(0, G56*(1-pRelComp)*(1-(1-(1-qx)^(1/13)))+C56*pReResp*(1-(1-(1-qx)^(1/13)))))</f>
        <v>0.117587951342969</v>
      </c>
      <c r="H57" s="27" t="n">
        <f aca="false">F57+G57</f>
        <v>0.383139257395943</v>
      </c>
      <c r="I57" s="27" t="n">
        <f aca="false">I56+(1-I56)*(1-(1-qx)^(1/13))</f>
        <v>0.00675175571658037</v>
      </c>
      <c r="J57" s="27" t="n">
        <f aca="false">E57+H57+I57</f>
        <v>1</v>
      </c>
      <c r="K57" s="27" t="n">
        <f aca="false">F57</f>
        <v>0.265551306052974</v>
      </c>
      <c r="L57" s="27" t="n">
        <f aca="false">IF(A57&lt;TreatCycles,1,MAX(0,L56*(1-Waning)))</f>
        <v>0.000481603360411478</v>
      </c>
      <c r="M57" s="27" t="n">
        <f aca="false">pRelEsk+(1-L57)*(pRelComp-pRelEsk)</f>
        <v>0.127425264172294</v>
      </c>
      <c r="N57" s="25" t="n">
        <f aca="false">IF(A57&gt;=TreatCycles,0,IF(A57=1,Sess1,Sess2)*K57)</f>
        <v>0</v>
      </c>
      <c r="O57" s="29" t="n">
        <f aca="false">N57*(PriceSession+AdminSession)</f>
        <v>0</v>
      </c>
      <c r="P57" s="29" t="n">
        <f aca="false">(1-I57)*cOral</f>
        <v>3.97299297713368</v>
      </c>
      <c r="Q57" s="29" t="n">
        <f aca="false">E57*cDep+H57*cResp</f>
        <v>660.741645362662</v>
      </c>
      <c r="R57" s="29" t="n">
        <f aca="false">O57+P57+Q57</f>
        <v>664.714638339795</v>
      </c>
      <c r="S57" s="26" t="n">
        <f aca="false">(E57*uDep+H57*uResp)*CycleLength</f>
        <v>0.0443565817693897</v>
      </c>
      <c r="T57" s="26" t="n">
        <f aca="false">(S57+S58)/2</f>
        <v>0.0443535659770186</v>
      </c>
      <c r="U57" s="26" t="n">
        <f aca="false">1/(1+DiscRate)^(B57+CycleLength/2)</f>
        <v>0.863408259681085</v>
      </c>
      <c r="V57" s="29" t="n">
        <f aca="false">R57*U57</f>
        <v>573.920109073505</v>
      </c>
      <c r="W57" s="26" t="n">
        <f aca="false">T57*U57</f>
        <v>0.0382952352108678</v>
      </c>
    </row>
    <row r="58" customFormat="false" ht="15" hidden="false" customHeight="true" outlineLevel="0" collapsed="false">
      <c r="A58" s="25" t="n">
        <f aca="false">A57+1</f>
        <v>56</v>
      </c>
      <c r="B58" s="26" t="n">
        <f aca="false">A58*CycleLength</f>
        <v>4.30769230769231</v>
      </c>
      <c r="C58" s="27" t="n">
        <f aca="false">MAX(0,1-I58-F58-G58-D58)</f>
        <v>0.187316099456995</v>
      </c>
      <c r="D58" s="27" t="n">
        <f aca="false">IF(A58=1, 0, F57*M58*(1-(1-(1-qx)^(1/13)))+D57*(1-pReResp)*(1-(1-(1-qx)^(1/13))))</f>
        <v>0.422735165189129</v>
      </c>
      <c r="E58" s="27" t="n">
        <f aca="false">C58+D58</f>
        <v>0.610051264646124</v>
      </c>
      <c r="F58" s="27" t="n">
        <f aca="false">IF(A58=1, C57*pRespEsk*(1-(1-(1-qx)^(1/13))), MAX(0, F57*(1-M58)*(1-(1-(1-qx)^(1/13)))+D57*pReResp*(1-(1-(1-qx)^(1/13)))))</f>
        <v>0.265501089040347</v>
      </c>
      <c r="G58" s="27" t="n">
        <f aca="false">IF(A58=1, 0, MAX(0, G57*(1-pRelComp)*(1-(1-(1-qx)^(1/13)))+C57*pReResp*(1-(1-(1-qx)^(1/13)))))</f>
        <v>0.11757355429257</v>
      </c>
      <c r="H58" s="27" t="n">
        <f aca="false">F58+G58</f>
        <v>0.383074643332918</v>
      </c>
      <c r="I58" s="27" t="n">
        <f aca="false">I57+(1-I57)*(1-(1-qx)^(1/13))</f>
        <v>0.00687409202095862</v>
      </c>
      <c r="J58" s="27" t="n">
        <f aca="false">E58+H58+I58</f>
        <v>1</v>
      </c>
      <c r="K58" s="27" t="n">
        <f aca="false">F58</f>
        <v>0.265501089040347</v>
      </c>
      <c r="L58" s="27" t="n">
        <f aca="false">IF(A58&lt;TreatCycles,1,MAX(0,L57*(1-Waning)))</f>
        <v>0.000409362856349756</v>
      </c>
      <c r="M58" s="27" t="n">
        <f aca="false">pRelEsk+(1-L58)*(pRelComp-pRelEsk)</f>
        <v>0.12742957454645</v>
      </c>
      <c r="N58" s="25" t="n">
        <f aca="false">IF(A58&gt;=TreatCycles,0,IF(A58=1,Sess1,Sess2)*K58)</f>
        <v>0</v>
      </c>
      <c r="O58" s="29" t="n">
        <f aca="false">N58*(PriceSession+AdminSession)</f>
        <v>0</v>
      </c>
      <c r="P58" s="29" t="n">
        <f aca="false">(1-I58)*cOral</f>
        <v>3.97250363191617</v>
      </c>
      <c r="Q58" s="29" t="n">
        <f aca="false">E58*cDep+H58*cResp</f>
        <v>660.6744808598</v>
      </c>
      <c r="R58" s="29" t="n">
        <f aca="false">O58+P58+Q58</f>
        <v>664.646984491716</v>
      </c>
      <c r="S58" s="26" t="n">
        <f aca="false">(E58*uDep+H58*uResp)*CycleLength</f>
        <v>0.0443505501846475</v>
      </c>
      <c r="T58" s="26" t="n">
        <f aca="false">(S58+S59)/2</f>
        <v>0.0443475778688964</v>
      </c>
      <c r="U58" s="26" t="n">
        <f aca="false">1/(1+DiscRate)^(B58+CycleLength/2)</f>
        <v>0.861126474271428</v>
      </c>
      <c r="V58" s="29" t="n">
        <f aca="false">R58*U58</f>
        <v>572.345114390488</v>
      </c>
      <c r="W58" s="26" t="n">
        <f aca="false">T58*U58</f>
        <v>0.0381888733727203</v>
      </c>
    </row>
    <row r="59" customFormat="false" ht="15" hidden="false" customHeight="true" outlineLevel="0" collapsed="false">
      <c r="A59" s="25" t="n">
        <f aca="false">A58+1</f>
        <v>57</v>
      </c>
      <c r="B59" s="26" t="n">
        <f aca="false">A59*CycleLength</f>
        <v>4.38461538461538</v>
      </c>
      <c r="C59" s="27" t="n">
        <f aca="false">MAX(0,1-I59-F59-G59-D59)</f>
        <v>0.187292959966285</v>
      </c>
      <c r="D59" s="27" t="n">
        <f aca="false">IF(A59=1, 0, F58*M59*(1-(1-(1-qx)^(1/13)))+D58*(1-pReResp)*(1-(1-(1-qx)^(1/13))))</f>
        <v>0.422697946306386</v>
      </c>
      <c r="E59" s="27" t="n">
        <f aca="false">C59+D59</f>
        <v>0.609990906272671</v>
      </c>
      <c r="F59" s="27" t="n">
        <f aca="false">IF(A59=1, C58*pRespEsk*(1-(1-(1-qx)^(1/13))), MAX(0, F58*(1-M59)*(1-(1-(1-qx)^(1/13)))+D58*pReResp*(1-(1-(1-qx)^(1/13)))))</f>
        <v>0.265453539306215</v>
      </c>
      <c r="G59" s="27" t="n">
        <f aca="false">IF(A59=1, 0, MAX(0, G58*(1-pRelComp)*(1-(1-(1-qx)^(1/13)))+C58*pReResp*(1-(1-(1-qx)^(1/13)))))</f>
        <v>0.117559141163683</v>
      </c>
      <c r="H59" s="27" t="n">
        <f aca="false">F59+G59</f>
        <v>0.383012680469898</v>
      </c>
      <c r="I59" s="27" t="n">
        <f aca="false">I58+(1-I58)*(1-(1-qx)^(1/13))</f>
        <v>0.00699641325743069</v>
      </c>
      <c r="J59" s="27" t="n">
        <f aca="false">E59+H59+I59</f>
        <v>1</v>
      </c>
      <c r="K59" s="27" t="n">
        <f aca="false">F59</f>
        <v>0.265453539306215</v>
      </c>
      <c r="L59" s="27" t="n">
        <f aca="false">IF(A59&lt;TreatCycles,1,MAX(0,L58*(1-Waning)))</f>
        <v>0.000347958427897293</v>
      </c>
      <c r="M59" s="27" t="n">
        <f aca="false">pRelEsk+(1-L59)*(pRelComp-pRelEsk)</f>
        <v>0.127433238364483</v>
      </c>
      <c r="N59" s="25" t="n">
        <f aca="false">IF(A59&gt;=TreatCycles,0,IF(A59=1,Sess1,Sess2)*K59)</f>
        <v>0</v>
      </c>
      <c r="O59" s="29" t="n">
        <f aca="false">N59*(PriceSession+AdminSession)</f>
        <v>0</v>
      </c>
      <c r="P59" s="29" t="n">
        <f aca="false">(1-I59)*cOral</f>
        <v>3.97201434697028</v>
      </c>
      <c r="Q59" s="29" t="n">
        <f aca="false">E59*cDep+H59*cResp</f>
        <v>660.605167744281</v>
      </c>
      <c r="R59" s="29" t="n">
        <f aca="false">O59+P59+Q59</f>
        <v>664.577182091251</v>
      </c>
      <c r="S59" s="26" t="n">
        <f aca="false">(E59*uDep+H59*uResp)*CycleLength</f>
        <v>0.0443446055531452</v>
      </c>
      <c r="T59" s="26" t="n">
        <f aca="false">(S59+S60)/2</f>
        <v>0.0443416701456701</v>
      </c>
      <c r="U59" s="26" t="n">
        <f aca="false">1/(1+DiscRate)^(B59+CycleLength/2)</f>
        <v>0.85885071908513</v>
      </c>
      <c r="V59" s="29" t="n">
        <f aca="false">R59*U59</f>
        <v>570.772590726641</v>
      </c>
      <c r="W59" s="26" t="n">
        <f aca="false">T59*U59</f>
        <v>0.0380828752900444</v>
      </c>
    </row>
    <row r="60" customFormat="false" ht="15" hidden="false" customHeight="true" outlineLevel="0" collapsed="false">
      <c r="A60" s="25" t="n">
        <f aca="false">A59+1</f>
        <v>58</v>
      </c>
      <c r="B60" s="26" t="n">
        <f aca="false">A60*CycleLength</f>
        <v>4.46153846153846</v>
      </c>
      <c r="C60" s="27" t="n">
        <f aca="false">MAX(0,1-I60-F60-G60-D60)</f>
        <v>0.187269837472203</v>
      </c>
      <c r="D60" s="27" t="n">
        <f aca="false">IF(A60=1, 0, F59*M60*(1-(1-(1-qx)^(1/13)))+D59*(1-pReResp)*(1-(1-(1-qx)^(1/13))))</f>
        <v>0.422658477067046</v>
      </c>
      <c r="E60" s="27" t="n">
        <f aca="false">C60+D60</f>
        <v>0.609928314539249</v>
      </c>
      <c r="F60" s="27" t="n">
        <f aca="false">IF(A60=1, C59*pRespEsk*(1-(1-(1-qx)^(1/13))), MAX(0, F59*(1-M60)*(1-(1-(1-qx)^(1/13)))+D59*pReResp*(1-(1-(1-qx)^(1/13)))))</f>
        <v>0.265408250369453</v>
      </c>
      <c r="G60" s="27" t="n">
        <f aca="false">IF(A60=1, 0, MAX(0, G59*(1-pRelComp)*(1-(1-(1-qx)^(1/13)))+C59*pReResp*(1-(1-(1-qx)^(1/13)))))</f>
        <v>0.117544715663446</v>
      </c>
      <c r="H60" s="27" t="n">
        <f aca="false">F60+G60</f>
        <v>0.382952966032899</v>
      </c>
      <c r="I60" s="27" t="n">
        <f aca="false">I59+(1-I59)*(1-(1-qx)^(1/13))</f>
        <v>0.00711871942785244</v>
      </c>
      <c r="J60" s="27" t="n">
        <f aca="false">E60+H60+I60</f>
        <v>1</v>
      </c>
      <c r="K60" s="27" t="n">
        <f aca="false">F60</f>
        <v>0.265408250369453</v>
      </c>
      <c r="L60" s="27" t="n">
        <f aca="false">IF(A60&lt;TreatCycles,1,MAX(0,L59*(1-Waning)))</f>
        <v>0.000295764663712699</v>
      </c>
      <c r="M60" s="27" t="n">
        <f aca="false">pRelEsk+(1-L60)*(pRelComp-pRelEsk)</f>
        <v>0.12743635260981</v>
      </c>
      <c r="N60" s="25" t="n">
        <f aca="false">IF(A60&gt;=TreatCycles,0,IF(A60=1,Sess1,Sess2)*K60)</f>
        <v>0</v>
      </c>
      <c r="O60" s="29" t="n">
        <f aca="false">N60*(PriceSession+AdminSession)</f>
        <v>0</v>
      </c>
      <c r="P60" s="29" t="n">
        <f aca="false">(1-I60)*cOral</f>
        <v>3.97152512228859</v>
      </c>
      <c r="Q60" s="29" t="n">
        <f aca="false">E60*cDep+H60*cResp</f>
        <v>660.534034677859</v>
      </c>
      <c r="R60" s="29" t="n">
        <f aca="false">O60+P60+Q60</f>
        <v>664.505559800148</v>
      </c>
      <c r="S60" s="26" t="n">
        <f aca="false">(E60*uDep+H60*uResp)*CycleLength</f>
        <v>0.044338734738195</v>
      </c>
      <c r="T60" s="26" t="n">
        <f aca="false">(S60+S61)/2</f>
        <v>0.0443358306753742</v>
      </c>
      <c r="U60" s="26" t="n">
        <f aca="false">1/(1+DiscRate)^(B60+CycleLength/2)</f>
        <v>0.856580978185725</v>
      </c>
      <c r="V60" s="29" t="n">
        <f aca="false">R60*U60</f>
        <v>569.202822423464</v>
      </c>
      <c r="W60" s="26" t="n">
        <f aca="false">T60*U60</f>
        <v>0.0379772292085887</v>
      </c>
    </row>
    <row r="61" customFormat="false" ht="15" hidden="false" customHeight="true" outlineLevel="0" collapsed="false">
      <c r="A61" s="25" t="n">
        <f aca="false">A60+1</f>
        <v>59</v>
      </c>
      <c r="B61" s="26" t="n">
        <f aca="false">A61*CycleLength</f>
        <v>4.53846153846154</v>
      </c>
      <c r="C61" s="27" t="n">
        <f aca="false">MAX(0,1-I61-F61-G61-D61)</f>
        <v>0.187246729036508</v>
      </c>
      <c r="D61" s="27" t="n">
        <f aca="false">IF(A61=1, 0, F60*M61*(1-(1-(1-qx)^(1/13)))+D60*(1-pReResp)*(1-(1-(1-qx)^(1/13))))</f>
        <v>0.422617101571142</v>
      </c>
      <c r="E61" s="27" t="n">
        <f aca="false">C61+D61</f>
        <v>0.60986383060765</v>
      </c>
      <c r="F61" s="27" t="n">
        <f aca="false">IF(A61=1, C60*pRespEsk*(1-(1-(1-qx)^(1/13))), MAX(0, F60*(1-M61)*(1-(1-(1-qx)^(1/13)))+D60*pReResp*(1-(1-(1-qx)^(1/13)))))</f>
        <v>0.265364878128741</v>
      </c>
      <c r="G61" s="27" t="n">
        <f aca="false">IF(A61=1, 0, MAX(0, G60*(1-pRelComp)*(1-(1-(1-qx)^(1/13)))+C60*pReResp*(1-(1-(1-qx)^(1/13)))))</f>
        <v>0.117530280729529</v>
      </c>
      <c r="H61" s="27" t="n">
        <f aca="false">F61+G61</f>
        <v>0.38289515885827</v>
      </c>
      <c r="I61" s="27" t="n">
        <f aca="false">I60+(1-I60)*(1-(1-qx)^(1/13))</f>
        <v>0.00724101053407955</v>
      </c>
      <c r="J61" s="27" t="n">
        <f aca="false">E61+H61+I61</f>
        <v>1</v>
      </c>
      <c r="K61" s="27" t="n">
        <f aca="false">F61</f>
        <v>0.265364878128741</v>
      </c>
      <c r="L61" s="27" t="n">
        <f aca="false">IF(A61&lt;TreatCycles,1,MAX(0,L60*(1-Waning)))</f>
        <v>0.000251399964155794</v>
      </c>
      <c r="M61" s="27" t="n">
        <f aca="false">pRelEsk+(1-L61)*(pRelComp-pRelEsk)</f>
        <v>0.127438999718339</v>
      </c>
      <c r="N61" s="25" t="n">
        <f aca="false">IF(A61&gt;=TreatCycles,0,IF(A61=1,Sess1,Sess2)*K61)</f>
        <v>0</v>
      </c>
      <c r="O61" s="29" t="n">
        <f aca="false">N61*(PriceSession+AdminSession)</f>
        <v>0</v>
      </c>
      <c r="P61" s="29" t="n">
        <f aca="false">(1-I61)*cOral</f>
        <v>3.97103595786368</v>
      </c>
      <c r="Q61" s="29" t="n">
        <f aca="false">E61*cDep+H61*cResp</f>
        <v>660.461360048254</v>
      </c>
      <c r="R61" s="29" t="n">
        <f aca="false">O61+P61+Q61</f>
        <v>664.432396006117</v>
      </c>
      <c r="S61" s="26" t="n">
        <f aca="false">(E61*uDep+H61*uResp)*CycleLength</f>
        <v>0.0443329266125535</v>
      </c>
      <c r="T61" s="26" t="n">
        <f aca="false">(S61+S62)/2</f>
        <v>0.044330049180904</v>
      </c>
      <c r="U61" s="26" t="n">
        <f aca="false">1/(1+DiscRate)^(B61+CycleLength/2)</f>
        <v>0.854317235678866</v>
      </c>
      <c r="V61" s="29" t="n">
        <f aca="false">R61*U61</f>
        <v>567.636047851431</v>
      </c>
      <c r="W61" s="26" t="n">
        <f aca="false">T61*U61</f>
        <v>0.037871925073738</v>
      </c>
    </row>
    <row r="62" customFormat="false" ht="15" hidden="false" customHeight="true" outlineLevel="0" collapsed="false">
      <c r="A62" s="25" t="n">
        <f aca="false">A61+1</f>
        <v>60</v>
      </c>
      <c r="B62" s="26" t="n">
        <f aca="false">A62*CycleLength</f>
        <v>4.61538461538461</v>
      </c>
      <c r="C62" s="27" t="n">
        <f aca="false">MAX(0,1-I62-F62-G62-D62)</f>
        <v>0.187223632330725</v>
      </c>
      <c r="D62" s="27" t="n">
        <f aca="false">IF(A62=1, 0, F61*M62*(1-(1-(1-qx)^(1/13)))+D61*(1-pReResp)*(1-(1-(1-qx)^(1/13))))</f>
        <v>0.422574111177815</v>
      </c>
      <c r="E62" s="27" t="n">
        <f aca="false">C62+D62</f>
        <v>0.60979774350854</v>
      </c>
      <c r="F62" s="27" t="n">
        <f aca="false">IF(A62=1, C61*pRespEsk*(1-(1-(1-qx)^(1/13))), MAX(0, F61*(1-M62)*(1-(1-(1-qx)^(1/13)))+D61*pReResp*(1-(1-(1-qx)^(1/13)))))</f>
        <v>0.265323131223654</v>
      </c>
      <c r="G62" s="27" t="n">
        <f aca="false">IF(A62=1, 0, MAX(0, G61*(1-pRelComp)*(1-(1-(1-qx)^(1/13)))+C61*pReResp*(1-(1-(1-qx)^(1/13)))))</f>
        <v>0.117515838689838</v>
      </c>
      <c r="H62" s="27" t="n">
        <f aca="false">F62+G62</f>
        <v>0.382838969913493</v>
      </c>
      <c r="I62" s="27" t="n">
        <f aca="false">I61+(1-I61)*(1-(1-qx)^(1/13))</f>
        <v>0.00736328657796742</v>
      </c>
      <c r="J62" s="27" t="n">
        <f aca="false">E62+H62+I62</f>
        <v>1</v>
      </c>
      <c r="K62" s="27" t="n">
        <f aca="false">F62</f>
        <v>0.265323131223654</v>
      </c>
      <c r="L62" s="27" t="n">
        <f aca="false">IF(A62&lt;TreatCycles,1,MAX(0,L61*(1-Waning)))</f>
        <v>0.000213689969532425</v>
      </c>
      <c r="M62" s="27" t="n">
        <f aca="false">pRelEsk+(1-L62)*(pRelComp-pRelEsk)</f>
        <v>0.127441249760588</v>
      </c>
      <c r="N62" s="25" t="n">
        <f aca="false">IF(A62&gt;=TreatCycles,0,IF(A62=1,Sess1,Sess2)*K62)</f>
        <v>0</v>
      </c>
      <c r="O62" s="29" t="n">
        <f aca="false">N62*(PriceSession+AdminSession)</f>
        <v>0</v>
      </c>
      <c r="P62" s="29" t="n">
        <f aca="false">(1-I62)*cOral</f>
        <v>3.97054685368813</v>
      </c>
      <c r="Q62" s="29" t="n">
        <f aca="false">E62*cDep+H62*cResp</f>
        <v>660.387379704182</v>
      </c>
      <c r="R62" s="29" t="n">
        <f aca="false">O62+P62+Q62</f>
        <v>664.35792655787</v>
      </c>
      <c r="S62" s="26" t="n">
        <f aca="false">(E62*uDep+H62*uResp)*CycleLength</f>
        <v>0.0443271717492545</v>
      </c>
      <c r="T62" s="26" t="n">
        <f aca="false">(S62+S63)/2</f>
        <v>0.0443243169547977</v>
      </c>
      <c r="U62" s="26" t="n">
        <f aca="false">1/(1+DiscRate)^(B62+CycleLength/2)</f>
        <v>0.852059475712207</v>
      </c>
      <c r="V62" s="29" t="n">
        <f aca="false">R62*U62</f>
        <v>566.072466588147</v>
      </c>
      <c r="W62" s="26" t="n">
        <f aca="false">T62*U62</f>
        <v>0.0377669542658066</v>
      </c>
    </row>
    <row r="63" customFormat="false" ht="15" hidden="false" customHeight="true" outlineLevel="0" collapsed="false">
      <c r="A63" s="25" t="n">
        <f aca="false">A62+1</f>
        <v>61</v>
      </c>
      <c r="B63" s="26" t="n">
        <f aca="false">A63*CycleLength</f>
        <v>4.69230769230769</v>
      </c>
      <c r="C63" s="27" t="n">
        <f aca="false">MAX(0,1-I63-F63-G63-D63)</f>
        <v>0.187200545509583</v>
      </c>
      <c r="D63" s="27" t="n">
        <f aca="false">IF(A63=1, 0, F62*M63*(1-(1-(1-qx)^(1/13)))+D62*(1-pReResp)*(1-(1-(1-qx)^(1/13))))</f>
        <v>0.422529752642434</v>
      </c>
      <c r="E63" s="27" t="n">
        <f aca="false">C63+D63</f>
        <v>0.609730298152017</v>
      </c>
      <c r="F63" s="27" t="n">
        <f aca="false">IF(A63=1, C62*pRespEsk*(1-(1-(1-qx)^(1/13))), MAX(0, F62*(1-M63)*(1-(1-(1-qx)^(1/13)))+D62*pReResp*(1-(1-(1-qx)^(1/13)))))</f>
        <v>0.265282762897537</v>
      </c>
      <c r="G63" s="27" t="n">
        <f aca="false">IF(A63=1, 0, MAX(0, G62*(1-pRelComp)*(1-(1-(1-qx)^(1/13)))+C62*pReResp*(1-(1-(1-qx)^(1/13)))))</f>
        <v>0.117501391389075</v>
      </c>
      <c r="H63" s="27" t="n">
        <f aca="false">F63+G63</f>
        <v>0.382784154286612</v>
      </c>
      <c r="I63" s="27" t="n">
        <f aca="false">I62+(1-I62)*(1-(1-qx)^(1/13))</f>
        <v>0.00748554756137126</v>
      </c>
      <c r="J63" s="27" t="n">
        <f aca="false">E63+H63+I63</f>
        <v>1</v>
      </c>
      <c r="K63" s="27" t="n">
        <f aca="false">F63</f>
        <v>0.265282762897537</v>
      </c>
      <c r="L63" s="27" t="n">
        <f aca="false">IF(A63&lt;TreatCycles,1,MAX(0,L62*(1-Waning)))</f>
        <v>0.000181636474102561</v>
      </c>
      <c r="M63" s="27" t="n">
        <f aca="false">pRelEsk+(1-L63)*(pRelComp-pRelEsk)</f>
        <v>0.1274431622965</v>
      </c>
      <c r="N63" s="25" t="n">
        <f aca="false">IF(A63&gt;=TreatCycles,0,IF(A63=1,Sess1,Sess2)*K63)</f>
        <v>0</v>
      </c>
      <c r="O63" s="29" t="n">
        <f aca="false">N63*(PriceSession+AdminSession)</f>
        <v>0</v>
      </c>
      <c r="P63" s="29" t="n">
        <f aca="false">(1-I63)*cOral</f>
        <v>3.97005780975452</v>
      </c>
      <c r="Q63" s="29" t="n">
        <f aca="false">E63*cDep+H63*cResp</f>
        <v>660.312293491981</v>
      </c>
      <c r="R63" s="29" t="n">
        <f aca="false">O63+P63+Q63</f>
        <v>664.282351301736</v>
      </c>
      <c r="S63" s="26" t="n">
        <f aca="false">(E63*uDep+H63*uResp)*CycleLength</f>
        <v>0.0443214621603409</v>
      </c>
      <c r="T63" s="26" t="n">
        <f aca="false">(S63+S64)/2</f>
        <v>0.0443186266181793</v>
      </c>
      <c r="U63" s="26" t="n">
        <f aca="false">1/(1+DiscRate)^(B63+CycleLength/2)</f>
        <v>0.849807682475299</v>
      </c>
      <c r="V63" s="29" t="n">
        <f aca="false">R63*U63</f>
        <v>564.51224546897</v>
      </c>
      <c r="W63" s="26" t="n">
        <f aca="false">T63*U63</f>
        <v>0.037662309376883</v>
      </c>
    </row>
    <row r="64" customFormat="false" ht="15" hidden="false" customHeight="true" outlineLevel="0" collapsed="false">
      <c r="A64" s="25" t="n">
        <f aca="false">A63+1</f>
        <v>62</v>
      </c>
      <c r="B64" s="26" t="n">
        <f aca="false">A64*CycleLength</f>
        <v>4.76923076923077</v>
      </c>
      <c r="C64" s="27" t="n">
        <f aca="false">MAX(0,1-I64-F64-G64-D64)</f>
        <v>0.187177467110729</v>
      </c>
      <c r="D64" s="27" t="n">
        <f aca="false">IF(A64=1, 0, F63*M64*(1-(1-(1-qx)^(1/13)))+D63*(1-pReResp)*(1-(1-(1-qx)^(1/13))))</f>
        <v>0.42248423498814</v>
      </c>
      <c r="E64" s="27" t="n">
        <f aca="false">C64+D64</f>
        <v>0.609661702098869</v>
      </c>
      <c r="F64" s="27" t="n">
        <f aca="false">IF(A64=1, C63*pRespEsk*(1-(1-(1-qx)^(1/13))), MAX(0, F63*(1-M64)*(1-(1-(1-qx)^(1/13)))+D63*pReResp*(1-(1-(1-qx)^(1/13)))))</f>
        <v>0.265243564125962</v>
      </c>
      <c r="G64" s="27" t="n">
        <f aca="false">IF(A64=1, 0, MAX(0, G63*(1-pRelComp)*(1-(1-(1-qx)^(1/13)))+C63*pReResp*(1-(1-(1-qx)^(1/13)))))</f>
        <v>0.117486940289023</v>
      </c>
      <c r="H64" s="27" t="n">
        <f aca="false">F64+G64</f>
        <v>0.382730504414985</v>
      </c>
      <c r="I64" s="27" t="n">
        <f aca="false">I63+(1-I63)*(1-(1-qx)^(1/13))</f>
        <v>0.00760779348614604</v>
      </c>
      <c r="J64" s="27" t="n">
        <f aca="false">E64+H64+I64</f>
        <v>1</v>
      </c>
      <c r="K64" s="27" t="n">
        <f aca="false">F64</f>
        <v>0.265243564125962</v>
      </c>
      <c r="L64" s="27" t="n">
        <f aca="false">IF(A64&lt;TreatCycles,1,MAX(0,L63*(1-Waning)))</f>
        <v>0.000154391002987177</v>
      </c>
      <c r="M64" s="27" t="n">
        <f aca="false">pRelEsk+(1-L64)*(pRelComp-pRelEsk)</f>
        <v>0.127444787952025</v>
      </c>
      <c r="N64" s="25" t="n">
        <f aca="false">IF(A64&gt;=TreatCycles,0,IF(A64=1,Sess1,Sess2)*K64)</f>
        <v>0</v>
      </c>
      <c r="O64" s="29" t="n">
        <f aca="false">N64*(PriceSession+AdminSession)</f>
        <v>0</v>
      </c>
      <c r="P64" s="29" t="n">
        <f aca="false">(1-I64)*cOral</f>
        <v>3.96956882605542</v>
      </c>
      <c r="Q64" s="29" t="n">
        <f aca="false">E64*cDep+H64*cResp</f>
        <v>660.236270780949</v>
      </c>
      <c r="R64" s="29" t="n">
        <f aca="false">O64+P64+Q64</f>
        <v>664.205839607005</v>
      </c>
      <c r="S64" s="26" t="n">
        <f aca="false">(E64*uDep+H64*uResp)*CycleLength</f>
        <v>0.0443157910760177</v>
      </c>
      <c r="T64" s="26" t="n">
        <f aca="false">(S64+S65)/2</f>
        <v>0.0443129719169706</v>
      </c>
      <c r="U64" s="26" t="n">
        <f aca="false">1/(1+DiscRate)^(B64+CycleLength/2)</f>
        <v>0.847561840199476</v>
      </c>
      <c r="V64" s="29" t="n">
        <f aca="false">R64*U64</f>
        <v>562.955523688551</v>
      </c>
      <c r="W64" s="26" t="n">
        <f aca="false">T64*U64</f>
        <v>0.0375579840226553</v>
      </c>
    </row>
    <row r="65" customFormat="false" ht="15" hidden="false" customHeight="true" outlineLevel="0" collapsed="false">
      <c r="A65" s="25" t="n">
        <f aca="false">A64+1</f>
        <v>63</v>
      </c>
      <c r="B65" s="26" t="n">
        <f aca="false">A65*CycleLength</f>
        <v>4.84615384615385</v>
      </c>
      <c r="C65" s="27" t="n">
        <f aca="false">MAX(0,1-I65-F65-G65-D65)</f>
        <v>0.187154395975251</v>
      </c>
      <c r="D65" s="27" t="n">
        <f aca="false">IF(A65=1, 0, F64*M65*(1-(1-(1-qx)^(1/13)))+D64*(1-pReResp)*(1-(1-(1-qx)^(1/13))))</f>
        <v>0.422437735310497</v>
      </c>
      <c r="E65" s="27" t="n">
        <f aca="false">C65+D65</f>
        <v>0.609592131285749</v>
      </c>
      <c r="F65" s="27" t="n">
        <f aca="false">IF(A65=1, C64*pRespEsk*(1-(1-(1-qx)^(1/13))), MAX(0, F64*(1-M65)*(1-(1-(1-qx)^(1/13)))+D64*pReResp*(1-(1-(1-qx)^(1/13)))))</f>
        <v>0.26520535781208</v>
      </c>
      <c r="G65" s="27" t="n">
        <f aca="false">IF(A65=1, 0, MAX(0, G64*(1-pRelComp)*(1-(1-(1-qx)^(1/13)))+C64*pReResp*(1-(1-(1-qx)^(1/13)))))</f>
        <v>0.117472486548025</v>
      </c>
      <c r="H65" s="27" t="n">
        <f aca="false">F65+G65</f>
        <v>0.382677844360105</v>
      </c>
      <c r="I65" s="27" t="n">
        <f aca="false">I64+(1-I64)*(1-(1-qx)^(1/13))</f>
        <v>0.00773002435414649</v>
      </c>
      <c r="J65" s="27" t="n">
        <f aca="false">E65+H65+I65</f>
        <v>1</v>
      </c>
      <c r="K65" s="27" t="n">
        <f aca="false">F65</f>
        <v>0.26520535781208</v>
      </c>
      <c r="L65" s="27" t="n">
        <f aca="false">IF(A65&lt;TreatCycles,1,MAX(0,L64*(1-Waning)))</f>
        <v>0.0001312323525391</v>
      </c>
      <c r="M65" s="27" t="n">
        <f aca="false">pRelEsk+(1-L65)*(pRelComp-pRelEsk)</f>
        <v>0.127446169759221</v>
      </c>
      <c r="N65" s="25" t="n">
        <f aca="false">IF(A65&gt;=TreatCycles,0,IF(A65=1,Sess1,Sess2)*K65)</f>
        <v>0</v>
      </c>
      <c r="O65" s="29" t="n">
        <f aca="false">N65*(PriceSession+AdminSession)</f>
        <v>0</v>
      </c>
      <c r="P65" s="29" t="n">
        <f aca="false">(1-I65)*cOral</f>
        <v>3.96907990258341</v>
      </c>
      <c r="Q65" s="29" t="n">
        <f aca="false">E65*cDep+H65*cResp</f>
        <v>660.159455135091</v>
      </c>
      <c r="R65" s="29" t="n">
        <f aca="false">O65+P65+Q65</f>
        <v>664.128535037674</v>
      </c>
      <c r="S65" s="26" t="n">
        <f aca="false">(E65*uDep+H65*uResp)*CycleLength</f>
        <v>0.0443101527579235</v>
      </c>
      <c r="T65" s="26" t="n">
        <f aca="false">(S65+S66)/2</f>
        <v>0.0443073475495656</v>
      </c>
      <c r="U65" s="26" t="n">
        <f aca="false">1/(1+DiscRate)^(B65+CycleLength/2)</f>
        <v>0.845321933157744</v>
      </c>
      <c r="V65" s="29" t="n">
        <f aca="false">R65*U65</f>
        <v>561.402417103267</v>
      </c>
      <c r="W65" s="26" t="n">
        <f aca="false">T65*U65</f>
        <v>0.0374539726836908</v>
      </c>
    </row>
    <row r="66" customFormat="false" ht="15" hidden="false" customHeight="true" outlineLevel="0" collapsed="false">
      <c r="A66" s="25" t="n">
        <f aca="false">A65+1</f>
        <v>64</v>
      </c>
      <c r="B66" s="26" t="n">
        <f aca="false">A66*CycleLength</f>
        <v>4.92307692307692</v>
      </c>
      <c r="C66" s="27" t="n">
        <f aca="false">MAX(0,1-I66-F66-G66-D66)</f>
        <v>0.187131331184698</v>
      </c>
      <c r="D66" s="27" t="n">
        <f aca="false">IF(A66=1, 0, F65*M66*(1-(1-(1-qx)^(1/13)))+D65*(1-pReResp)*(1-(1-(1-qx)^(1/13))))</f>
        <v>0.422390403682428</v>
      </c>
      <c r="E66" s="27" t="n">
        <f aca="false">C66+D66</f>
        <v>0.609521734867126</v>
      </c>
      <c r="F66" s="27" t="n">
        <f aca="false">IF(A66=1, C65*pRespEsk*(1-(1-(1-qx)^(1/13))), MAX(0, F65*(1-M66)*(1-(1-(1-qx)^(1/13)))+D65*pReResp*(1-(1-(1-qx)^(1/13)))))</f>
        <v>0.265167993881685</v>
      </c>
      <c r="G66" s="27" t="n">
        <f aca="false">IF(A66=1, 0, MAX(0, G65*(1-pRelComp)*(1-(1-(1-qx)^(1/13)))+C65*pReResp*(1-(1-(1-qx)^(1/13)))))</f>
        <v>0.117458031083962</v>
      </c>
      <c r="H66" s="27" t="n">
        <f aca="false">F66+G66</f>
        <v>0.382626024965647</v>
      </c>
      <c r="I66" s="27" t="n">
        <f aca="false">I65+(1-I65)*(1-(1-qx)^(1/13))</f>
        <v>0.00785224016722713</v>
      </c>
      <c r="J66" s="27" t="n">
        <f aca="false">E66+H66+I66</f>
        <v>1</v>
      </c>
      <c r="K66" s="27" t="n">
        <f aca="false">F66</f>
        <v>0.265167993881685</v>
      </c>
      <c r="L66" s="27" t="n">
        <f aca="false">IF(A66&lt;TreatCycles,1,MAX(0,L65*(1-Waning)))</f>
        <v>0.000111547499658235</v>
      </c>
      <c r="M66" s="27" t="n">
        <f aca="false">pRelEsk+(1-L66)*(pRelComp-pRelEsk)</f>
        <v>0.127447344295338</v>
      </c>
      <c r="N66" s="25" t="n">
        <f aca="false">IF(A66&gt;=TreatCycles,0,IF(A66=1,Sess1,Sess2)*K66)</f>
        <v>0</v>
      </c>
      <c r="O66" s="29" t="n">
        <f aca="false">N66*(PriceSession+AdminSession)</f>
        <v>0</v>
      </c>
      <c r="P66" s="29" t="n">
        <f aca="false">(1-I66)*cOral</f>
        <v>3.96859103933109</v>
      </c>
      <c r="Q66" s="29" t="n">
        <f aca="false">E66*cDep+H66*cResp</f>
        <v>660.08196826415</v>
      </c>
      <c r="R66" s="29" t="n">
        <f aca="false">O66+P66+Q66</f>
        <v>664.050559303481</v>
      </c>
      <c r="S66" s="26" t="n">
        <f aca="false">(E66*uDep+H66*uResp)*CycleLength</f>
        <v>0.0443045423412077</v>
      </c>
      <c r="T66" s="26" t="n">
        <f aca="false">S66/2</f>
        <v>0.0221522711706039</v>
      </c>
      <c r="U66" s="26" t="n">
        <f aca="false">1/(1+DiscRate)^(B66+CycleLength/2)</f>
        <v>0.843087945664672</v>
      </c>
      <c r="V66" s="29" t="n">
        <f aca="false">R66*U66</f>
        <v>559.853021860648</v>
      </c>
      <c r="W66" s="26" t="n">
        <f aca="false">T66*U66</f>
        <v>0.0186763127930311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1" width="12"/>
  </cols>
  <sheetData>
    <row r="1" customFormat="false" ht="15" hidden="false" customHeight="true" outlineLevel="0" collapsed="false">
      <c r="A1" s="24" t="s">
        <v>110</v>
      </c>
      <c r="B1" s="24" t="s">
        <v>111</v>
      </c>
      <c r="C1" s="24" t="s">
        <v>112</v>
      </c>
      <c r="D1" s="24" t="s">
        <v>113</v>
      </c>
      <c r="E1" s="24" t="s">
        <v>114</v>
      </c>
      <c r="F1" s="24" t="s">
        <v>115</v>
      </c>
      <c r="G1" s="24" t="s">
        <v>116</v>
      </c>
      <c r="H1" s="24" t="s">
        <v>117</v>
      </c>
      <c r="I1" s="24" t="s">
        <v>118</v>
      </c>
      <c r="J1" s="24" t="s">
        <v>119</v>
      </c>
      <c r="K1" s="24" t="s">
        <v>120</v>
      </c>
      <c r="L1" s="24" t="s">
        <v>121</v>
      </c>
      <c r="M1" s="24" t="s">
        <v>122</v>
      </c>
      <c r="N1" s="24" t="s">
        <v>123</v>
      </c>
      <c r="O1" s="24" t="s">
        <v>124</v>
      </c>
      <c r="P1" s="24" t="s">
        <v>125</v>
      </c>
      <c r="Q1" s="24" t="s">
        <v>126</v>
      </c>
      <c r="R1" s="24" t="s">
        <v>127</v>
      </c>
      <c r="S1" s="24" t="s">
        <v>128</v>
      </c>
      <c r="T1" s="24" t="s">
        <v>129</v>
      </c>
      <c r="U1" s="24" t="s">
        <v>130</v>
      </c>
      <c r="V1" s="24" t="s">
        <v>131</v>
      </c>
      <c r="W1" s="24" t="s">
        <v>132</v>
      </c>
    </row>
    <row r="2" customFormat="false" ht="15" hidden="false" customHeight="true" outlineLevel="0" collapsed="false">
      <c r="A2" s="25" t="n">
        <v>0</v>
      </c>
      <c r="B2" s="26" t="n">
        <v>0</v>
      </c>
      <c r="C2" s="27" t="n">
        <v>1</v>
      </c>
      <c r="D2" s="27" t="n">
        <v>0</v>
      </c>
      <c r="E2" s="27" t="n">
        <f aca="false">C2+D2</f>
        <v>1</v>
      </c>
      <c r="F2" s="27" t="n">
        <v>0</v>
      </c>
      <c r="G2" s="27" t="n">
        <v>0</v>
      </c>
      <c r="H2" s="27" t="n">
        <f aca="false">F2+G2</f>
        <v>0</v>
      </c>
      <c r="I2" s="27" t="n">
        <v>0</v>
      </c>
      <c r="J2" s="27" t="n">
        <f aca="false">E2+H2+I2</f>
        <v>1</v>
      </c>
      <c r="K2" s="27" t="n">
        <v>1</v>
      </c>
      <c r="L2" s="27" t="n">
        <v>0</v>
      </c>
      <c r="M2" s="27" t="n">
        <f aca="false">pRelComp</f>
        <v>0.127454</v>
      </c>
      <c r="N2" s="25" t="n">
        <v>0</v>
      </c>
      <c r="O2" s="29" t="n">
        <v>0</v>
      </c>
      <c r="P2" s="29" t="n">
        <f aca="false">(1-I2)*cOral</f>
        <v>4</v>
      </c>
      <c r="Q2" s="29" t="n">
        <f aca="false">E2*cDep+H2*cResp</f>
        <v>980</v>
      </c>
      <c r="R2" s="29" t="n">
        <f aca="false">O2+P2+Q2</f>
        <v>984</v>
      </c>
      <c r="S2" s="26" t="n">
        <f aca="false">(E2*uDep+H2*uResp)*CycleLength</f>
        <v>0.0320769230769231</v>
      </c>
      <c r="T2" s="26" t="n">
        <f aca="false">(S2+S3)/2</f>
        <v>0.0405539031894066</v>
      </c>
      <c r="U2" s="26" t="n">
        <f aca="false">1/(1+DiscRate)^(B2+CycleLength/2)</f>
        <v>0.99867774315612</v>
      </c>
      <c r="V2" s="29" t="n">
        <f aca="false">R2*U2</f>
        <v>982.698899265622</v>
      </c>
      <c r="W2" s="26" t="n">
        <f aca="false">T2*U2</f>
        <v>0.0405002805133684</v>
      </c>
    </row>
    <row r="3" customFormat="false" ht="15" hidden="false" customHeight="true" outlineLevel="0" collapsed="false">
      <c r="A3" s="25" t="n">
        <f aca="false">A2+1</f>
        <v>1</v>
      </c>
      <c r="B3" s="26" t="n">
        <f aca="false">A3*CycleLength</f>
        <v>0.0769230769230769</v>
      </c>
      <c r="C3" s="27" t="n">
        <f aca="false">MAX(0,1-I3-F3-G3-D3)</f>
        <v>0.479940879406091</v>
      </c>
      <c r="D3" s="27" t="n">
        <f aca="false">IF(A3=1, 0, F2*M3*(1-(1-(1-qx)^(1/13)))+D2*(1-pReResp)*(1-(1-(1-qx)^(1/13))))</f>
        <v>0</v>
      </c>
      <c r="E3" s="27" t="n">
        <f aca="false">C3+D3</f>
        <v>0.479940879406091</v>
      </c>
      <c r="F3" s="27" t="n">
        <f aca="false">IF(A3=1, C2*pRespComp*(1-(1-(1-qx)^(1/13))), MAX(0, F2*(1-M3)*(1-(1-(1-qx)^(1/13)))+D2*pReResp*(1-(1-(1-qx)^(1/13)))))</f>
        <v>0.519935952689931</v>
      </c>
      <c r="G3" s="27" t="n">
        <f aca="false">IF(A3=1, 0, MAX(0, G2*(1-pRelComp)*(1-(1-(1-qx)^(1/13)))+C2*pReResp*(1-(1-(1-qx)^(1/13)))))</f>
        <v>0</v>
      </c>
      <c r="H3" s="27" t="n">
        <f aca="false">F3+G3</f>
        <v>0.519935952689931</v>
      </c>
      <c r="I3" s="27" t="n">
        <f aca="false">I2+(1-I2)*(1-(1-qx)^(1/13))</f>
        <v>0.000123167903978039</v>
      </c>
      <c r="J3" s="27" t="n">
        <f aca="false">E3+H3+I3</f>
        <v>1</v>
      </c>
      <c r="K3" s="27" t="n">
        <f aca="false">F3</f>
        <v>0.519935952689931</v>
      </c>
      <c r="L3" s="27" t="n">
        <v>0</v>
      </c>
      <c r="M3" s="27" t="n">
        <f aca="false">pRelComp</f>
        <v>0.127454</v>
      </c>
      <c r="N3" s="25" t="n">
        <v>0</v>
      </c>
      <c r="O3" s="29" t="n">
        <v>0</v>
      </c>
      <c r="P3" s="29" t="n">
        <f aca="false">(1-I3)*cOral</f>
        <v>3.99950732838409</v>
      </c>
      <c r="Q3" s="29" t="n">
        <f aca="false">E3*cDep+H3*cResp</f>
        <v>555.611558059117</v>
      </c>
      <c r="R3" s="29" t="n">
        <f aca="false">O3+P3+Q3</f>
        <v>559.611065387502</v>
      </c>
      <c r="S3" s="26" t="n">
        <f aca="false">(E3*uDep+H3*uResp)*CycleLength</f>
        <v>0.0490308833018901</v>
      </c>
      <c r="T3" s="26" t="n">
        <f aca="false">(S3+S4)/2</f>
        <v>0.0485733812269581</v>
      </c>
      <c r="U3" s="26" t="n">
        <f aca="false">1/(1+DiscRate)^(B3+CycleLength/2)</f>
        <v>0.996038472246059</v>
      </c>
      <c r="V3" s="29" t="n">
        <f aca="false">R3*U3</f>
        <v>557.394150620556</v>
      </c>
      <c r="W3" s="26" t="n">
        <f aca="false">T3*U3</f>
        <v>0.0483809564291247</v>
      </c>
    </row>
    <row r="4" customFormat="false" ht="15" hidden="false" customHeight="true" outlineLevel="0" collapsed="false">
      <c r="A4" s="25" t="n">
        <f aca="false">A3+1</f>
        <v>2</v>
      </c>
      <c r="B4" s="26" t="n">
        <f aca="false">A4*CycleLength</f>
        <v>0.153846153846154</v>
      </c>
      <c r="C4" s="27" t="n">
        <f aca="false">MAX(0,1-I4-F4-G4-D4)</f>
        <v>0.441491224806425</v>
      </c>
      <c r="D4" s="27" t="n">
        <f aca="false">IF(A4=1, 0, F3*M4*(1-(1-(1-qx)^(1/13)))+D3*(1-pReResp)*(1-(1-(1-qx)^(1/13))))</f>
        <v>0.0662597548337152</v>
      </c>
      <c r="E4" s="27" t="n">
        <f aca="false">C4+D4</f>
        <v>0.507750979640141</v>
      </c>
      <c r="F4" s="27" t="n">
        <f aca="false">IF(A4=1, C3*pRespComp*(1-(1-(1-qx)^(1/13))), MAX(0, F3*(1-M4)*(1-(1-(1-qx)^(1/13)))+D3*pReResp*(1-(1-(1-qx)^(1/13)))))</f>
        <v>0.453612158434721</v>
      </c>
      <c r="G4" s="27" t="n">
        <f aca="false">IF(A4=1, 0, MAX(0, G3*(1-pRelComp)*(1-(1-(1-qx)^(1/13)))+C3*pReResp*(1-(1-(1-qx)^(1/13)))))</f>
        <v>0.0383905412875153</v>
      </c>
      <c r="H4" s="27" t="n">
        <f aca="false">F4+G4</f>
        <v>0.492002699722236</v>
      </c>
      <c r="I4" s="27" t="n">
        <f aca="false">I3+(1-I3)*(1-(1-qx)^(1/13))</f>
        <v>0.000246320637623507</v>
      </c>
      <c r="J4" s="27" t="n">
        <f aca="false">E4+H4+I4</f>
        <v>1</v>
      </c>
      <c r="K4" s="27" t="n">
        <f aca="false">F4</f>
        <v>0.453612158434721</v>
      </c>
      <c r="L4" s="27" t="n">
        <v>0</v>
      </c>
      <c r="M4" s="27" t="n">
        <f aca="false">pRelComp</f>
        <v>0.127454</v>
      </c>
      <c r="N4" s="25" t="n">
        <v>0</v>
      </c>
      <c r="O4" s="29" t="n">
        <v>0</v>
      </c>
      <c r="P4" s="29" t="n">
        <f aca="false">(1-I4)*cOral</f>
        <v>3.99901471744951</v>
      </c>
      <c r="Q4" s="29" t="n">
        <f aca="false">E4*cDep+H4*cResp</f>
        <v>578.284402801784</v>
      </c>
      <c r="R4" s="29" t="n">
        <f aca="false">O4+P4+Q4</f>
        <v>582.283417519234</v>
      </c>
      <c r="S4" s="26" t="n">
        <f aca="false">(E4*uDep+H4*uResp)*CycleLength</f>
        <v>0.0481158791520261</v>
      </c>
      <c r="T4" s="26" t="n">
        <f aca="false">(S4+S5)/2</f>
        <v>0.0477527620164108</v>
      </c>
      <c r="U4" s="26" t="n">
        <f aca="false">1/(1+DiscRate)^(B4+CycleLength/2)</f>
        <v>0.993406176309641</v>
      </c>
      <c r="V4" s="29" t="n">
        <f aca="false">R4*U4</f>
        <v>578.443943326292</v>
      </c>
      <c r="W4" s="26" t="n">
        <f aca="false">T4*U4</f>
        <v>0.0474378887229469</v>
      </c>
    </row>
    <row r="5" customFormat="false" ht="15" hidden="false" customHeight="true" outlineLevel="0" collapsed="false">
      <c r="A5" s="25" t="n">
        <f aca="false">A4+1</f>
        <v>3</v>
      </c>
      <c r="B5" s="26" t="n">
        <f aca="false">A5*CycleLength</f>
        <v>0.230769230769231</v>
      </c>
      <c r="C5" s="27" t="n">
        <f aca="false">MAX(0,1-I5-F5-G5-D5)</f>
        <v>0.41101432486228</v>
      </c>
      <c r="D5" s="27" t="n">
        <f aca="false">IF(A5=1, 0, F4*M5*(1-(1-(1-qx)^(1/13)))+D4*(1-pReResp)*(1-(1-(1-qx)^(1/13))))</f>
        <v>0.118759029385593</v>
      </c>
      <c r="E5" s="27" t="n">
        <f aca="false">C5+D5</f>
        <v>0.529773354247873</v>
      </c>
      <c r="F5" s="27" t="n">
        <f aca="false">IF(A5=1, C4*pRespComp*(1-(1-(1-qx)^(1/13))), MAX(0, F4*(1-M5)*(1-(1-(1-qx)^(1/13)))+D4*pReResp*(1-(1-(1-qx)^(1/13)))))</f>
        <v>0.401048852348948</v>
      </c>
      <c r="G5" s="27" t="n">
        <f aca="false">IF(A5=1, 0, MAX(0, G4*(1-pRelComp)*(1-(1-(1-qx)^(1/13)))+C4*pReResp*(1-(1-(1-qx)^(1/13)))))</f>
        <v>0.0688083352003736</v>
      </c>
      <c r="H5" s="27" t="n">
        <f aca="false">F5+G5</f>
        <v>0.469857187549322</v>
      </c>
      <c r="I5" s="27" t="n">
        <f aca="false">I4+(1-I4)*(1-(1-qx)^(1/13))</f>
        <v>0.000369458202804903</v>
      </c>
      <c r="J5" s="27" t="n">
        <f aca="false">E5+H5+I5</f>
        <v>1</v>
      </c>
      <c r="K5" s="27" t="n">
        <f aca="false">F5</f>
        <v>0.401048852348948</v>
      </c>
      <c r="L5" s="27" t="n">
        <v>0</v>
      </c>
      <c r="M5" s="27" t="n">
        <f aca="false">pRelComp</f>
        <v>0.127454</v>
      </c>
      <c r="N5" s="25" t="n">
        <v>0</v>
      </c>
      <c r="O5" s="29" t="n">
        <v>0</v>
      </c>
      <c r="P5" s="29" t="n">
        <f aca="false">(1-I5)*cOral</f>
        <v>3.99852216718878</v>
      </c>
      <c r="Q5" s="29" t="n">
        <f aca="false">E5*cDep+H5*cResp</f>
        <v>596.234465921005</v>
      </c>
      <c r="R5" s="29" t="n">
        <f aca="false">O5+P5+Q5</f>
        <v>600.232988088193</v>
      </c>
      <c r="S5" s="26" t="n">
        <f aca="false">(E5*uDep+H5*uResp)*CycleLength</f>
        <v>0.0473896448807956</v>
      </c>
      <c r="T5" s="26" t="n">
        <f aca="false">(S5+S6)/2</f>
        <v>0.0471013230080438</v>
      </c>
      <c r="U5" s="26" t="n">
        <f aca="false">1/(1+DiscRate)^(B5+CycleLength/2)</f>
        <v>0.990780836913648</v>
      </c>
      <c r="V5" s="29" t="n">
        <f aca="false">R5*U5</f>
        <v>594.6993422812</v>
      </c>
      <c r="W5" s="26" t="n">
        <f aca="false">T5*U5</f>
        <v>0.0466670882296497</v>
      </c>
    </row>
    <row r="6" customFormat="false" ht="15" hidden="false" customHeight="true" outlineLevel="0" collapsed="false">
      <c r="A6" s="25" t="n">
        <f aca="false">A5+1</f>
        <v>4</v>
      </c>
      <c r="B6" s="26" t="n">
        <f aca="false">A6*CycleLength</f>
        <v>0.307692307692308</v>
      </c>
      <c r="C6" s="27" t="n">
        <f aca="false">MAX(0,1-I6-F6-G6-D6)</f>
        <v>0.38685542238696</v>
      </c>
      <c r="D6" s="27" t="n">
        <f aca="false">IF(A6=1, 0, F5*M6*(1-(1-(1-qx)^(1/13)))+D5*(1-pReResp)*(1-(1-(1-qx)^(1/13))))</f>
        <v>0.160353834583407</v>
      </c>
      <c r="E6" s="27" t="n">
        <f aca="false">C6+D6</f>
        <v>0.547209256970367</v>
      </c>
      <c r="F6" s="27" t="n">
        <f aca="false">IF(A6=1, C5*pRespComp*(1-(1-(1-qx)^(1/13))), MAX(0, F5*(1-M6)*(1-(1-(1-qx)^(1/13)))+D5*pReResp*(1-(1-(1-qx)^(1/13)))))</f>
        <v>0.35939002350387</v>
      </c>
      <c r="G6" s="27" t="n">
        <f aca="false">IF(A6=1, 0, MAX(0, G5*(1-pRelComp)*(1-(1-(1-qx)^(1/13)))+C5*pReResp*(1-(1-(1-qx)^(1/13)))))</f>
        <v>0.0929081389243728</v>
      </c>
      <c r="H6" s="27" t="n">
        <f aca="false">F6+G6</f>
        <v>0.452298162428242</v>
      </c>
      <c r="I6" s="27" t="n">
        <f aca="false">I5+(1-I5)*(1-(1-qx)^(1/13))</f>
        <v>0.000492580601390495</v>
      </c>
      <c r="J6" s="27" t="n">
        <f aca="false">E6+H6+I6</f>
        <v>1</v>
      </c>
      <c r="K6" s="27" t="n">
        <f aca="false">F6</f>
        <v>0.35939002350387</v>
      </c>
      <c r="L6" s="27" t="n">
        <v>0</v>
      </c>
      <c r="M6" s="27" t="n">
        <f aca="false">pRelComp</f>
        <v>0.127454</v>
      </c>
      <c r="N6" s="25" t="n">
        <v>0</v>
      </c>
      <c r="O6" s="29" t="n">
        <v>0</v>
      </c>
      <c r="P6" s="29" t="n">
        <f aca="false">(1-I6)*cOral</f>
        <v>3.99802967759444</v>
      </c>
      <c r="Q6" s="29" t="n">
        <f aca="false">E6*cDep+H6*cResp</f>
        <v>610.441970469192</v>
      </c>
      <c r="R6" s="29" t="n">
        <f aca="false">O6+P6+Q6</f>
        <v>614.440000146786</v>
      </c>
      <c r="S6" s="26" t="n">
        <f aca="false">(E6*uDep+H6*uResp)*CycleLength</f>
        <v>0.0468130011352919</v>
      </c>
      <c r="T6" s="26" t="n">
        <f aca="false">(S6+S7)/2</f>
        <v>0.0465839507179507</v>
      </c>
      <c r="U6" s="26" t="n">
        <f aca="false">1/(1+DiscRate)^(B6+CycleLength/2)</f>
        <v>0.988162435673576</v>
      </c>
      <c r="V6" s="29" t="n">
        <f aca="false">R6*U6</f>
        <v>607.16652712032</v>
      </c>
      <c r="W6" s="26" t="n">
        <f aca="false">T6*U6</f>
        <v>0.046032510204748</v>
      </c>
    </row>
    <row r="7" customFormat="false" ht="15" hidden="false" customHeight="true" outlineLevel="0" collapsed="false">
      <c r="A7" s="25" t="n">
        <f aca="false">A6+1</f>
        <v>5</v>
      </c>
      <c r="B7" s="26" t="n">
        <f aca="false">A7*CycleLength</f>
        <v>0.384615384615384</v>
      </c>
      <c r="C7" s="27" t="n">
        <f aca="false">MAX(0,1-I7-F7-G7-D7)</f>
        <v>0.367703207722222</v>
      </c>
      <c r="D7" s="27" t="n">
        <f aca="false">IF(A7=1, 0, F6*M7*(1-(1-(1-qx)^(1/13)))+D6*(1-pReResp)*(1-(1-(1-qx)^(1/13))))</f>
        <v>0.193307411670779</v>
      </c>
      <c r="E7" s="27" t="n">
        <f aca="false">C7+D7</f>
        <v>0.561010619393001</v>
      </c>
      <c r="F7" s="27" t="n">
        <f aca="false">IF(A7=1, C6*pRespComp*(1-(1-(1-qx)^(1/13))), MAX(0, F6*(1-M7)*(1-(1-(1-qx)^(1/13)))+D6*pReResp*(1-(1-(1-qx)^(1/13)))))</f>
        <v>0.326372430654892</v>
      </c>
      <c r="G7" s="27" t="n">
        <f aca="false">IF(A7=1, 0, MAX(0, G6*(1-pRelComp)*(1-(1-(1-qx)^(1/13)))+C6*pReResp*(1-(1-(1-qx)^(1/13)))))</f>
        <v>0.112001262116859</v>
      </c>
      <c r="H7" s="27" t="n">
        <f aca="false">F7+G7</f>
        <v>0.438373692771751</v>
      </c>
      <c r="I7" s="27" t="n">
        <f aca="false">I6+(1-I6)*(1-(1-qx)^(1/13))</f>
        <v>0.00061568783524832</v>
      </c>
      <c r="J7" s="27" t="n">
        <f aca="false">E7+H7+I7</f>
        <v>1</v>
      </c>
      <c r="K7" s="27" t="n">
        <f aca="false">F7</f>
        <v>0.326372430654892</v>
      </c>
      <c r="L7" s="27" t="n">
        <v>0</v>
      </c>
      <c r="M7" s="27" t="n">
        <f aca="false">pRelComp</f>
        <v>0.127454</v>
      </c>
      <c r="N7" s="25" t="n">
        <v>0</v>
      </c>
      <c r="O7" s="29" t="n">
        <v>0</v>
      </c>
      <c r="P7" s="29" t="n">
        <f aca="false">(1-I7)*cOral</f>
        <v>3.99753724865901</v>
      </c>
      <c r="Q7" s="29" t="n">
        <f aca="false">E7*cDep+H7*cResp</f>
        <v>621.683692619708</v>
      </c>
      <c r="R7" s="29" t="n">
        <f aca="false">O7+P7+Q7</f>
        <v>625.681229868367</v>
      </c>
      <c r="S7" s="26" t="n">
        <f aca="false">(E7*uDep+H7*uResp)*CycleLength</f>
        <v>0.0463549003006095</v>
      </c>
      <c r="T7" s="26" t="n">
        <f aca="false">(S7+S8)/2</f>
        <v>0.0461728195225444</v>
      </c>
      <c r="U7" s="26" t="n">
        <f aca="false">1/(1+DiscRate)^(B7+CycleLength/2)</f>
        <v>0.985550954253507</v>
      </c>
      <c r="V7" s="29" t="n">
        <f aca="false">R7*U7</f>
        <v>616.640733155277</v>
      </c>
      <c r="W7" s="26" t="n">
        <f aca="false">T7*U7</f>
        <v>0.0455056663410186</v>
      </c>
    </row>
    <row r="8" customFormat="false" ht="15" hidden="false" customHeight="true" outlineLevel="0" collapsed="false">
      <c r="A8" s="25" t="n">
        <f aca="false">A7+1</f>
        <v>6</v>
      </c>
      <c r="B8" s="26" t="n">
        <f aca="false">A8*CycleLength</f>
        <v>0.461538461538461</v>
      </c>
      <c r="C8" s="27" t="n">
        <f aca="false">MAX(0,1-I8-F8-G8-D8)</f>
        <v>0.352518535648655</v>
      </c>
      <c r="D8" s="27" t="n">
        <f aca="false">IF(A8=1, 0, F7*M8*(1-(1-(1-qx)^(1/13)))+D7*(1-pReResp)*(1-(1-(1-qx)^(1/13))))</f>
        <v>0.219413262513175</v>
      </c>
      <c r="E8" s="27" t="n">
        <f aca="false">C8+D8</f>
        <v>0.571931798161829</v>
      </c>
      <c r="F8" s="27" t="n">
        <f aca="false">IF(A8=1, C7*pRespComp*(1-(1-(1-qx)^(1/13))), MAX(0, F7*(1-M8)*(1-(1-(1-qx)^(1/13)))+D7*pReResp*(1-(1-(1-qx)^(1/13)))))</f>
        <v>0.300202571935578</v>
      </c>
      <c r="G8" s="27" t="n">
        <f aca="false">IF(A8=1, 0, MAX(0, G7*(1-pRelComp)*(1-(1-(1-qx)^(1/13)))+C7*pReResp*(1-(1-(1-qx)^(1/13)))))</f>
        <v>0.127126849996347</v>
      </c>
      <c r="H8" s="27" t="n">
        <f aca="false">F8+G8</f>
        <v>0.427329421931925</v>
      </c>
      <c r="I8" s="27" t="n">
        <f aca="false">I7+(1-I7)*(1-(1-qx)^(1/13))</f>
        <v>0.000738779906246186</v>
      </c>
      <c r="J8" s="27" t="n">
        <f aca="false">E8+H8+I8</f>
        <v>1</v>
      </c>
      <c r="K8" s="27" t="n">
        <f aca="false">F8</f>
        <v>0.300202571935578</v>
      </c>
      <c r="L8" s="27" t="n">
        <v>0</v>
      </c>
      <c r="M8" s="27" t="n">
        <f aca="false">pRelComp</f>
        <v>0.127454</v>
      </c>
      <c r="N8" s="25" t="n">
        <v>0</v>
      </c>
      <c r="O8" s="29" t="n">
        <v>0</v>
      </c>
      <c r="P8" s="29" t="n">
        <f aca="false">(1-I8)*cOral</f>
        <v>3.99704488037502</v>
      </c>
      <c r="Q8" s="29" t="n">
        <f aca="false">E8*cDep+H8*cResp</f>
        <v>630.575187395428</v>
      </c>
      <c r="R8" s="29" t="n">
        <f aca="false">O8+P8+Q8</f>
        <v>634.572232275803</v>
      </c>
      <c r="S8" s="26" t="n">
        <f aca="false">(E8*uDep+H8*uResp)*CycleLength</f>
        <v>0.0459907387444793</v>
      </c>
      <c r="T8" s="26" t="n">
        <f aca="false">(S8+S9)/2</f>
        <v>0.0458458790513684</v>
      </c>
      <c r="U8" s="26" t="n">
        <f aca="false">1/(1+DiscRate)^(B8+CycleLength/2)</f>
        <v>0.982946374365981</v>
      </c>
      <c r="V8" s="29" t="n">
        <f aca="false">R8*U8</f>
        <v>623.750474988828</v>
      </c>
      <c r="W8" s="26" t="n">
        <f aca="false">T8*U8</f>
        <v>0.0450640405931639</v>
      </c>
    </row>
    <row r="9" customFormat="false" ht="15" hidden="false" customHeight="true" outlineLevel="0" collapsed="false">
      <c r="A9" s="25" t="n">
        <f aca="false">A8+1</f>
        <v>7</v>
      </c>
      <c r="B9" s="26" t="n">
        <f aca="false">A9*CycleLength</f>
        <v>0.538461538461538</v>
      </c>
      <c r="C9" s="27" t="n">
        <f aca="false">MAX(0,1-I9-F9-G9-D9)</f>
        <v>0.340477937216519</v>
      </c>
      <c r="D9" s="27" t="n">
        <f aca="false">IF(A9=1, 0, F8*M9*(1-(1-(1-qx)^(1/13)))+D8*(1-pReResp)*(1-(1-(1-qx)^(1/13))))</f>
        <v>0.240092644765048</v>
      </c>
      <c r="E9" s="27" t="n">
        <f aca="false">C9+D9</f>
        <v>0.580570581981567</v>
      </c>
      <c r="F9" s="27" t="n">
        <f aca="false">IF(A9=1, C8*pRespComp*(1-(1-(1-qx)^(1/13))), MAX(0, F8*(1-M9)*(1-(1-(1-qx)^(1/13)))+D8*pReResp*(1-(1-(1-qx)^(1/13)))))</f>
        <v>0.279459189690502</v>
      </c>
      <c r="G9" s="27" t="n">
        <f aca="false">IF(A9=1, 0, MAX(0, G8*(1-pRelComp)*(1-(1-(1-qx)^(1/13)))+C8*pReResp*(1-(1-(1-qx)^(1/13)))))</f>
        <v>0.13910837151168</v>
      </c>
      <c r="H9" s="27" t="n">
        <f aca="false">F9+G9</f>
        <v>0.418567561202182</v>
      </c>
      <c r="I9" s="27" t="n">
        <f aca="false">I8+(1-I8)*(1-(1-qx)^(1/13))</f>
        <v>0.000861856816251671</v>
      </c>
      <c r="J9" s="27" t="n">
        <f aca="false">E9+H9+I9</f>
        <v>1</v>
      </c>
      <c r="K9" s="27" t="n">
        <f aca="false">F9</f>
        <v>0.279459189690502</v>
      </c>
      <c r="L9" s="27" t="n">
        <v>0</v>
      </c>
      <c r="M9" s="27" t="n">
        <f aca="false">pRelComp</f>
        <v>0.127454</v>
      </c>
      <c r="N9" s="25" t="n">
        <v>0</v>
      </c>
      <c r="O9" s="29" t="n">
        <v>0</v>
      </c>
      <c r="P9" s="29" t="n">
        <f aca="false">(1-I9)*cOral</f>
        <v>3.99655257273499</v>
      </c>
      <c r="Q9" s="29" t="n">
        <f aca="false">E9*cDep+H9*cResp</f>
        <v>637.604250379093</v>
      </c>
      <c r="R9" s="29" t="n">
        <f aca="false">O9+P9+Q9</f>
        <v>641.600802951828</v>
      </c>
      <c r="S9" s="26" t="n">
        <f aca="false">(E9*uDep+H9*uResp)*CycleLength</f>
        <v>0.0457010193582575</v>
      </c>
      <c r="T9" s="26" t="n">
        <f aca="false">(S9+S10)/2</f>
        <v>0.0455856555239757</v>
      </c>
      <c r="U9" s="26" t="n">
        <f aca="false">1/(1+DiscRate)^(B9+CycleLength/2)</f>
        <v>0.980348677771867</v>
      </c>
      <c r="V9" s="29" t="n">
        <f aca="false">R9*U9</f>
        <v>628.992498831193</v>
      </c>
      <c r="W9" s="26" t="n">
        <f aca="false">T9*U9</f>
        <v>0.0446898371182934</v>
      </c>
    </row>
    <row r="10" customFormat="false" ht="15" hidden="false" customHeight="true" outlineLevel="0" collapsed="false">
      <c r="A10" s="25" t="n">
        <f aca="false">A9+1</f>
        <v>8</v>
      </c>
      <c r="B10" s="26" t="n">
        <f aca="false">A10*CycleLength</f>
        <v>0.615384615384615</v>
      </c>
      <c r="C10" s="27" t="n">
        <f aca="false">MAX(0,1-I10-F10-G10-D10)</f>
        <v>0.330928855787395</v>
      </c>
      <c r="D10" s="27" t="n">
        <f aca="false">IF(A10=1, 0, F9*M10*(1-(1-(1-qx)^(1/13)))+D9*(1-pReResp)*(1-(1-(1-qx)^(1/13))))</f>
        <v>0.256471831757468</v>
      </c>
      <c r="E10" s="27" t="n">
        <f aca="false">C10+D10</f>
        <v>0.587400687544863</v>
      </c>
      <c r="F10" s="27" t="n">
        <f aca="false">IF(A10=1, C9*pRespComp*(1-(1-(1-qx)^(1/13))), MAX(0, F9*(1-M10)*(1-(1-(1-qx)^(1/13)))+D9*pReResp*(1-(1-(1-qx)^(1/13)))))</f>
        <v>0.263016010587624</v>
      </c>
      <c r="G10" s="27" t="n">
        <f aca="false">IF(A10=1, 0, MAX(0, G9*(1-pRelComp)*(1-(1-(1-qx)^(1/13)))+C9*pReResp*(1-(1-(1-qx)^(1/13)))))</f>
        <v>0.148598383300382</v>
      </c>
      <c r="H10" s="27" t="n">
        <f aca="false">F10+G10</f>
        <v>0.411614393888005</v>
      </c>
      <c r="I10" s="27" t="n">
        <f aca="false">I9+(1-I9)*(1-(1-qx)^(1/13))</f>
        <v>0.000984918567132123</v>
      </c>
      <c r="J10" s="27" t="n">
        <f aca="false">E10+H10+I10</f>
        <v>1</v>
      </c>
      <c r="K10" s="27" t="n">
        <f aca="false">F10</f>
        <v>0.263016010587624</v>
      </c>
      <c r="L10" s="27" t="n">
        <v>0</v>
      </c>
      <c r="M10" s="27" t="n">
        <f aca="false">pRelComp</f>
        <v>0.127454</v>
      </c>
      <c r="N10" s="25" t="n">
        <v>0</v>
      </c>
      <c r="O10" s="29" t="n">
        <v>0</v>
      </c>
      <c r="P10" s="29" t="n">
        <f aca="false">(1-I10)*cOral</f>
        <v>3.99606032573147</v>
      </c>
      <c r="Q10" s="29" t="n">
        <f aca="false">E10*cDep+H10*cResp</f>
        <v>643.157434391598</v>
      </c>
      <c r="R10" s="29" t="n">
        <f aca="false">O10+P10+Q10</f>
        <v>647.15349471733</v>
      </c>
      <c r="S10" s="26" t="n">
        <f aca="false">(E10*uDep+H10*uResp)*CycleLength</f>
        <v>0.0454702916896939</v>
      </c>
      <c r="T10" s="26" t="n">
        <f aca="false">(S10+S11)/2</f>
        <v>0.0453783018712753</v>
      </c>
      <c r="U10" s="26" t="n">
        <f aca="false">1/(1+DiscRate)^(B10+CycleLength/2)</f>
        <v>0.977757846280235</v>
      </c>
      <c r="V10" s="29" t="n">
        <f aca="false">R10*U10</f>
        <v>632.759407207544</v>
      </c>
      <c r="W10" s="26" t="n">
        <f aca="false">T10*U10</f>
        <v>0.0443689907055125</v>
      </c>
    </row>
    <row r="11" customFormat="false" ht="15" hidden="false" customHeight="true" outlineLevel="0" collapsed="false">
      <c r="A11" s="25" t="n">
        <f aca="false">A10+1</f>
        <v>9</v>
      </c>
      <c r="B11" s="26" t="n">
        <f aca="false">A11*CycleLength</f>
        <v>0.692307692307692</v>
      </c>
      <c r="C11" s="27" t="n">
        <f aca="false">MAX(0,1-I11-F11-G11-D11)</f>
        <v>0.323354173907733</v>
      </c>
      <c r="D11" s="27" t="n">
        <f aca="false">IF(A11=1, 0, F10*M11*(1-(1-(1-qx)^(1/13)))+D10*(1-pReResp)*(1-(1-(1-qx)^(1/13))))</f>
        <v>0.269443336971201</v>
      </c>
      <c r="E11" s="27" t="n">
        <f aca="false">C11+D11</f>
        <v>0.592797510878934</v>
      </c>
      <c r="F11" s="27" t="n">
        <f aca="false">IF(A11=1, C10*pRespComp*(1-(1-(1-qx)^(1/13))), MAX(0, F10*(1-M11)*(1-(1-(1-qx)^(1/13)))+D10*pReResp*(1-(1-(1-qx)^(1/13)))))</f>
        <v>0.249980521145207</v>
      </c>
      <c r="G11" s="27" t="n">
        <f aca="false">IF(A11=1, 0, MAX(0, G10*(1-pRelComp)*(1-(1-(1-qx)^(1/13)))+C10*pReResp*(1-(1-(1-qx)^(1/13)))))</f>
        <v>0.156114002815105</v>
      </c>
      <c r="H11" s="27" t="n">
        <f aca="false">F11+G11</f>
        <v>0.406094523960312</v>
      </c>
      <c r="I11" s="27" t="n">
        <f aca="false">I10+(1-I10)*(1-(1-qx)^(1/13))</f>
        <v>0.00110796516075466</v>
      </c>
      <c r="J11" s="27" t="n">
        <f aca="false">E11+H11+I11</f>
        <v>1</v>
      </c>
      <c r="K11" s="27" t="n">
        <f aca="false">F11</f>
        <v>0.249980521145207</v>
      </c>
      <c r="L11" s="27" t="n">
        <v>0</v>
      </c>
      <c r="M11" s="27" t="n">
        <f aca="false">pRelComp</f>
        <v>0.127454</v>
      </c>
      <c r="N11" s="25" t="n">
        <v>0</v>
      </c>
      <c r="O11" s="29" t="n">
        <v>0</v>
      </c>
      <c r="P11" s="29" t="n">
        <f aca="false">(1-I11)*cOral</f>
        <v>3.99556813935698</v>
      </c>
      <c r="Q11" s="29" t="n">
        <f aca="false">E11*cDep+H11*cResp</f>
        <v>647.541062590846</v>
      </c>
      <c r="R11" s="29" t="n">
        <f aca="false">O11+P11+Q11</f>
        <v>651.536630730203</v>
      </c>
      <c r="S11" s="26" t="n">
        <f aca="false">(E11*uDep+H11*uResp)*CycleLength</f>
        <v>0.0452863120528567</v>
      </c>
      <c r="T11" s="26" t="n">
        <f aca="false">(S11+S12)/2</f>
        <v>0.0452128450057288</v>
      </c>
      <c r="U11" s="26" t="n">
        <f aca="false">1/(1+DiscRate)^(B11+CycleLength/2)</f>
        <v>0.975173861748232</v>
      </c>
      <c r="V11" s="29" t="n">
        <f aca="false">R11*U11</f>
        <v>635.361492259604</v>
      </c>
      <c r="W11" s="26" t="n">
        <f aca="false">T11*U11</f>
        <v>0.0440903846648609</v>
      </c>
    </row>
    <row r="12" customFormat="false" ht="15" hidden="false" customHeight="true" outlineLevel="0" collapsed="false">
      <c r="A12" s="25" t="n">
        <f aca="false">A11+1</f>
        <v>10</v>
      </c>
      <c r="B12" s="26" t="n">
        <f aca="false">A12*CycleLength</f>
        <v>0.769230769230769</v>
      </c>
      <c r="C12" s="27" t="n">
        <f aca="false">MAX(0,1-I12-F12-G12-D12)</f>
        <v>0.317344102687134</v>
      </c>
      <c r="D12" s="27" t="n">
        <f aca="false">IF(A12=1, 0, F11*M12*(1-(1-(1-qx)^(1/13)))+D11*(1-pReResp)*(1-(1-(1-qx)^(1/13))))</f>
        <v>0.27971443127145</v>
      </c>
      <c r="E12" s="27" t="n">
        <f aca="false">C12+D12</f>
        <v>0.597058533958584</v>
      </c>
      <c r="F12" s="27" t="n">
        <f aca="false">IF(A12=1, C11*pRespComp*(1-(1-(1-qx)^(1/13))), MAX(0, F11*(1-M12)*(1-(1-(1-qx)^(1/13)))+D11*pReResp*(1-(1-(1-qx)^(1/13)))))</f>
        <v>0.239645450497077</v>
      </c>
      <c r="G12" s="27" t="n">
        <f aca="false">IF(A12=1, 0, MAX(0, G11*(1-pRelComp)*(1-(1-(1-qx)^(1/13)))+C11*pReResp*(1-(1-(1-qx)^(1/13)))))</f>
        <v>0.162065018945352</v>
      </c>
      <c r="H12" s="27" t="n">
        <f aca="false">F12+G12</f>
        <v>0.401710469442429</v>
      </c>
      <c r="I12" s="27" t="n">
        <f aca="false">I11+(1-I11)*(1-(1-qx)^(1/13))</f>
        <v>0.00123099659898617</v>
      </c>
      <c r="J12" s="27" t="n">
        <f aca="false">E12+H12+I12</f>
        <v>1</v>
      </c>
      <c r="K12" s="27" t="n">
        <f aca="false">F12</f>
        <v>0.239645450497077</v>
      </c>
      <c r="L12" s="27" t="n">
        <v>0</v>
      </c>
      <c r="M12" s="27" t="n">
        <f aca="false">pRelComp</f>
        <v>0.127454</v>
      </c>
      <c r="N12" s="25" t="n">
        <v>0</v>
      </c>
      <c r="O12" s="29" t="n">
        <v>0</v>
      </c>
      <c r="P12" s="29" t="n">
        <f aca="false">(1-I12)*cOral</f>
        <v>3.99507601360406</v>
      </c>
      <c r="Q12" s="29" t="n">
        <f aca="false">E12*cDep+H12*cResp</f>
        <v>650.997880267971</v>
      </c>
      <c r="R12" s="29" t="n">
        <f aca="false">O12+P12+Q12</f>
        <v>654.992956281575</v>
      </c>
      <c r="S12" s="26" t="n">
        <f aca="false">(E12*uDep+H12*uResp)*CycleLength</f>
        <v>0.045139377958601</v>
      </c>
      <c r="T12" s="26" t="n">
        <f aca="false">(S12+S13)/2</f>
        <v>0.0450805893218343</v>
      </c>
      <c r="U12" s="26" t="n">
        <f aca="false">1/(1+DiscRate)^(B12+CycleLength/2)</f>
        <v>0.972596706080949</v>
      </c>
      <c r="V12" s="29" t="n">
        <f aca="false">R12*U12</f>
        <v>637.043991785683</v>
      </c>
      <c r="W12" s="26" t="n">
        <f aca="false">T12*U12</f>
        <v>0.0438452326826041</v>
      </c>
    </row>
    <row r="13" customFormat="false" ht="15" hidden="false" customHeight="true" outlineLevel="0" collapsed="false">
      <c r="A13" s="25" t="n">
        <f aca="false">A12+1</f>
        <v>11</v>
      </c>
      <c r="B13" s="26" t="n">
        <f aca="false">A13*CycleLength</f>
        <v>0.846153846153846</v>
      </c>
      <c r="C13" s="27" t="n">
        <f aca="false">MAX(0,1-I13-F13-G13-D13)</f>
        <v>0.312573905581601</v>
      </c>
      <c r="D13" s="27" t="n">
        <f aca="false">IF(A13=1, 0, F12*M13*(1-(1-(1-qx)^(1/13)))+D12*(1-pReResp)*(1-(1-(1-qx)^(1/13))))</f>
        <v>0.28784559031211</v>
      </c>
      <c r="E13" s="27" t="n">
        <f aca="false">C13+D13</f>
        <v>0.600419495893711</v>
      </c>
      <c r="F13" s="27" t="n">
        <f aca="false">IF(A13=1, C12*pRespComp*(1-(1-(1-qx)^(1/13))), MAX(0, F12*(1-M13)*(1-(1-(1-qx)^(1/13)))+D12*pReResp*(1-(1-(1-qx)^(1/13)))))</f>
        <v>0.23145032298837</v>
      </c>
      <c r="G13" s="27" t="n">
        <f aca="false">IF(A13=1, 0, MAX(0, G12*(1-pRelComp)*(1-(1-(1-qx)^(1/13)))+C12*pReResp*(1-(1-(1-qx)^(1/13)))))</f>
        <v>0.166776168234226</v>
      </c>
      <c r="H13" s="27" t="n">
        <f aca="false">F13+G13</f>
        <v>0.398226491222596</v>
      </c>
      <c r="I13" s="27" t="n">
        <f aca="false">I12+(1-I12)*(1-(1-qx)^(1/13))</f>
        <v>0.0013540128836933</v>
      </c>
      <c r="J13" s="27" t="n">
        <f aca="false">E13+H13+I13</f>
        <v>1</v>
      </c>
      <c r="K13" s="27" t="n">
        <f aca="false">F13</f>
        <v>0.23145032298837</v>
      </c>
      <c r="L13" s="27" t="n">
        <v>0</v>
      </c>
      <c r="M13" s="27" t="n">
        <f aca="false">pRelComp</f>
        <v>0.127454</v>
      </c>
      <c r="N13" s="25" t="n">
        <v>0</v>
      </c>
      <c r="O13" s="29" t="n">
        <v>0</v>
      </c>
      <c r="P13" s="29" t="n">
        <f aca="false">(1-I13)*cOral</f>
        <v>3.99458394846523</v>
      </c>
      <c r="Q13" s="29" t="n">
        <f aca="false">E13*cDep+H13*cResp</f>
        <v>653.720250536342</v>
      </c>
      <c r="R13" s="29" t="n">
        <f aca="false">O13+P13+Q13</f>
        <v>657.714834484808</v>
      </c>
      <c r="S13" s="26" t="n">
        <f aca="false">(E13*uDep+H13*uResp)*CycleLength</f>
        <v>0.0450218006850677</v>
      </c>
      <c r="T13" s="26" t="n">
        <f aca="false">(S13+S14)/2</f>
        <v>0.0449746440010485</v>
      </c>
      <c r="U13" s="26" t="n">
        <f aca="false">1/(1+DiscRate)^(B13+CycleLength/2)</f>
        <v>0.970026361231299</v>
      </c>
      <c r="V13" s="29" t="n">
        <f aca="false">R13*U13</f>
        <v>638.000727623144</v>
      </c>
      <c r="W13" s="26" t="n">
        <f aca="false">T13*U13</f>
        <v>0.0436265902680102</v>
      </c>
    </row>
    <row r="14" customFormat="false" ht="15" hidden="false" customHeight="true" outlineLevel="0" collapsed="false">
      <c r="A14" s="25" t="n">
        <f aca="false">A13+1</f>
        <v>12</v>
      </c>
      <c r="B14" s="26" t="n">
        <f aca="false">A14*CycleLength</f>
        <v>0.923076923076923</v>
      </c>
      <c r="C14" s="27" t="n">
        <f aca="false">MAX(0,1-I14-F14-G14-D14)</f>
        <v>0.308786245641578</v>
      </c>
      <c r="D14" s="27" t="n">
        <f aca="false">IF(A14=1, 0, F13*M14*(1-(1-(1-qx)^(1/13)))+D13*(1-pReResp)*(1-(1-(1-qx)^(1/13))))</f>
        <v>0.294280962119126</v>
      </c>
      <c r="E14" s="27" t="n">
        <f aca="false">C14+D14</f>
        <v>0.603067207760704</v>
      </c>
      <c r="F14" s="27" t="n">
        <f aca="false">IF(A14=1, C13*pRespComp*(1-(1-(1-qx)^(1/13))), MAX(0, F13*(1-M14)*(1-(1-(1-qx)^(1/13)))+D13*pReResp*(1-(1-(1-qx)^(1/13)))))</f>
        <v>0.224950990592168</v>
      </c>
      <c r="G14" s="27" t="n">
        <f aca="false">IF(A14=1, 0, MAX(0, G13*(1-pRelComp)*(1-(1-(1-qx)^(1/13)))+C13*pReResp*(1-(1-(1-qx)^(1/13)))))</f>
        <v>0.170504787630385</v>
      </c>
      <c r="H14" s="27" t="n">
        <f aca="false">F14+G14</f>
        <v>0.395455778222554</v>
      </c>
      <c r="I14" s="27" t="n">
        <f aca="false">I13+(1-I13)*(1-(1-qx)^(1/13))</f>
        <v>0.0014770140167425</v>
      </c>
      <c r="J14" s="27" t="n">
        <f aca="false">E14+H14+I14</f>
        <v>1</v>
      </c>
      <c r="K14" s="27" t="n">
        <f aca="false">F14</f>
        <v>0.224950990592168</v>
      </c>
      <c r="L14" s="27" t="n">
        <v>0</v>
      </c>
      <c r="M14" s="27" t="n">
        <f aca="false">pRelComp</f>
        <v>0.127454</v>
      </c>
      <c r="N14" s="25" t="n">
        <v>0</v>
      </c>
      <c r="O14" s="29" t="n">
        <v>0</v>
      </c>
      <c r="P14" s="29" t="n">
        <f aca="false">(1-I14)*cOral</f>
        <v>3.99409194393303</v>
      </c>
      <c r="Q14" s="29" t="n">
        <f aca="false">E14*cDep+H14*cResp</f>
        <v>655.860611233989</v>
      </c>
      <c r="R14" s="29" t="n">
        <f aca="false">O14+P14+Q14</f>
        <v>659.854703177922</v>
      </c>
      <c r="S14" s="26" t="n">
        <f aca="false">(E14*uDep+H14*uResp)*CycleLength</f>
        <v>0.0449274873170293</v>
      </c>
      <c r="T14" s="26" t="n">
        <f aca="false">(S14+S15)/2</f>
        <v>0.0448895484253366</v>
      </c>
      <c r="U14" s="26" t="n">
        <f aca="false">1/(1+DiscRate)^(B14+CycleLength/2)</f>
        <v>0.967462809199891</v>
      </c>
      <c r="V14" s="29" t="n">
        <f aca="false">R14*U14</f>
        <v>638.384884800272</v>
      </c>
      <c r="W14" s="26" t="n">
        <f aca="false">T14*U14</f>
        <v>0.0434289686232907</v>
      </c>
    </row>
    <row r="15" customFormat="false" ht="15" hidden="false" customHeight="true" outlineLevel="0" collapsed="false">
      <c r="A15" s="25" t="n">
        <f aca="false">A14+1</f>
        <v>13</v>
      </c>
      <c r="B15" s="26" t="n">
        <f aca="false">A15*CycleLength</f>
        <v>1</v>
      </c>
      <c r="C15" s="27" t="n">
        <f aca="false">MAX(0,1-I15-F15-G15-D15)</f>
        <v>0.30577719661719</v>
      </c>
      <c r="D15" s="27" t="n">
        <f aca="false">IF(A15=1, 0, F14*M15*(1-(1-(1-qx)^(1/13)))+D14*(1-pReResp)*(1-(1-(1-qx)^(1/13))))</f>
        <v>0.299372511077692</v>
      </c>
      <c r="E15" s="27" t="n">
        <f aca="false">C15+D15</f>
        <v>0.605149707694882</v>
      </c>
      <c r="F15" s="27" t="n">
        <f aca="false">IF(A15=1, C14*pRespComp*(1-(1-(1-qx)^(1/13))), MAX(0, F14*(1-M15)*(1-(1-(1-qx)^(1/13)))+D14*pReResp*(1-(1-(1-qx)^(1/13)))))</f>
        <v>0.219795488922309</v>
      </c>
      <c r="G15" s="27" t="n">
        <f aca="false">IF(A15=1, 0, MAX(0, G14*(1-pRelComp)*(1-(1-(1-qx)^(1/13)))+C14*pReResp*(1-(1-(1-qx)^(1/13)))))</f>
        <v>0.17345480338281</v>
      </c>
      <c r="H15" s="27" t="n">
        <f aca="false">F15+G15</f>
        <v>0.393250292305118</v>
      </c>
      <c r="I15" s="27" t="n">
        <f aca="false">I14+(1-I14)*(1-(1-qx)^(1/13))</f>
        <v>0.00159999999999995</v>
      </c>
      <c r="J15" s="27" t="n">
        <f aca="false">E15+H15+I15</f>
        <v>1</v>
      </c>
      <c r="K15" s="27" t="n">
        <f aca="false">F15</f>
        <v>0.219795488922309</v>
      </c>
      <c r="L15" s="27" t="n">
        <v>0</v>
      </c>
      <c r="M15" s="27" t="n">
        <f aca="false">pRelComp</f>
        <v>0.127454</v>
      </c>
      <c r="N15" s="25" t="n">
        <v>0</v>
      </c>
      <c r="O15" s="29" t="n">
        <v>0</v>
      </c>
      <c r="P15" s="29" t="n">
        <f aca="false">(1-I15)*cOral</f>
        <v>3.9936</v>
      </c>
      <c r="Q15" s="29" t="n">
        <f aca="false">E15*cDep+H15*cResp</f>
        <v>657.539761479024</v>
      </c>
      <c r="R15" s="29" t="n">
        <f aca="false">O15+P15+Q15</f>
        <v>661.533361479024</v>
      </c>
      <c r="S15" s="26" t="n">
        <f aca="false">(E15*uDep+H15*uResp)*CycleLength</f>
        <v>0.0448516095336438</v>
      </c>
      <c r="T15" s="26" t="n">
        <f aca="false">(S15+S16)/2</f>
        <v>0.0448209753367452</v>
      </c>
      <c r="U15" s="26" t="n">
        <f aca="false">1/(1+DiscRate)^(B15+CycleLength/2)</f>
        <v>0.964906032034899</v>
      </c>
      <c r="V15" s="29" t="n">
        <f aca="false">R15*U15</f>
        <v>638.317530883433</v>
      </c>
      <c r="W15" s="26" t="n">
        <f aca="false">T15*U15</f>
        <v>0.0432480294641129</v>
      </c>
    </row>
    <row r="16" customFormat="false" ht="15" hidden="false" customHeight="true" outlineLevel="0" collapsed="false">
      <c r="A16" s="25" t="n">
        <f aca="false">A15+1</f>
        <v>14</v>
      </c>
      <c r="B16" s="26" t="n">
        <f aca="false">A16*CycleLength</f>
        <v>1.07692307692308</v>
      </c>
      <c r="C16" s="27" t="n">
        <f aca="false">MAX(0,1-I16-F16-G16-D16)</f>
        <v>0.303385157481202</v>
      </c>
      <c r="D16" s="27" t="n">
        <f aca="false">IF(A16=1, 0, F15*M16*(1-(1-(1-qx)^(1/13)))+D15*(1-pReResp)*(1-(1-(1-qx)^(1/13))))</f>
        <v>0.303399150795875</v>
      </c>
      <c r="E16" s="27" t="n">
        <f aca="false">C16+D16</f>
        <v>0.606784308277077</v>
      </c>
      <c r="F16" s="27" t="n">
        <f aca="false">IF(A16=1, C15*pRespComp*(1-(1-(1-qx)^(1/13))), MAX(0, F15*(1-M16)*(1-(1-(1-qx)^(1/13)))+D15*pReResp*(1-(1-(1-qx)^(1/13)))))</f>
        <v>0.215704904369753</v>
      </c>
      <c r="G16" s="27" t="n">
        <f aca="false">IF(A16=1, 0, MAX(0, G15*(1-pRelComp)*(1-(1-(1-qx)^(1/13)))+C15*pReResp*(1-(1-(1-qx)^(1/13)))))</f>
        <v>0.175787816517839</v>
      </c>
      <c r="H16" s="27" t="n">
        <f aca="false">F16+G16</f>
        <v>0.391492720887591</v>
      </c>
      <c r="I16" s="27" t="n">
        <f aca="false">I15+(1-I15)*(1-(1-qx)^(1/13))</f>
        <v>0.00172297083533162</v>
      </c>
      <c r="J16" s="27" t="n">
        <f aca="false">E16+H16+I16</f>
        <v>1</v>
      </c>
      <c r="K16" s="27" t="n">
        <f aca="false">F16</f>
        <v>0.215704904369753</v>
      </c>
      <c r="L16" s="27" t="n">
        <v>0</v>
      </c>
      <c r="M16" s="27" t="n">
        <f aca="false">pRelComp</f>
        <v>0.127454</v>
      </c>
      <c r="N16" s="25" t="n">
        <v>0</v>
      </c>
      <c r="O16" s="29" t="n">
        <v>0</v>
      </c>
      <c r="P16" s="29" t="n">
        <f aca="false">(1-I16)*cOral</f>
        <v>3.99310811665867</v>
      </c>
      <c r="Q16" s="29" t="n">
        <f aca="false">E16*cDep+H16*cResp</f>
        <v>658.853428337101</v>
      </c>
      <c r="R16" s="29" t="n">
        <f aca="false">O16+P16+Q16</f>
        <v>662.846536453759</v>
      </c>
      <c r="S16" s="26" t="n">
        <f aca="false">(E16*uDep+H16*uResp)*CycleLength</f>
        <v>0.0447903411398466</v>
      </c>
      <c r="T16" s="26" t="n">
        <f aca="false">(S16+S17)/2</f>
        <v>0.0447654956066858</v>
      </c>
      <c r="U16" s="26" t="n">
        <f aca="false">1/(1+DiscRate)^(B16+CycleLength/2)</f>
        <v>0.962356011831941</v>
      </c>
      <c r="V16" s="29" t="n">
        <f aca="false">R16*U16</f>
        <v>637.894349278255</v>
      </c>
      <c r="W16" s="26" t="n">
        <f aca="false">T16*U16</f>
        <v>0.0430803438197305</v>
      </c>
    </row>
    <row r="17" customFormat="false" ht="15" hidden="false" customHeight="true" outlineLevel="0" collapsed="false">
      <c r="A17" s="25" t="n">
        <f aca="false">A16+1</f>
        <v>15</v>
      </c>
      <c r="B17" s="26" t="n">
        <f aca="false">A17*CycleLength</f>
        <v>1.15384615384615</v>
      </c>
      <c r="C17" s="27" t="n">
        <f aca="false">MAX(0,1-I17-F17-G17-D17)</f>
        <v>0.301482067760651</v>
      </c>
      <c r="D17" s="27" t="n">
        <f aca="false">IF(A17=1, 0, F16*M17*(1-(1-(1-qx)^(1/13)))+D16*(1-pReResp)*(1-(1-(1-qx)^(1/13))))</f>
        <v>0.306581905911477</v>
      </c>
      <c r="E17" s="27" t="n">
        <f aca="false">C17+D17</f>
        <v>0.608063973672127</v>
      </c>
      <c r="F17" s="27" t="n">
        <f aca="false">IF(A17=1, C16*pRespComp*(1-(1-(1-qx)^(1/13))), MAX(0, F16*(1-M17)*(1-(1-(1-qx)^(1/13)))+D16*pReResp*(1-(1-(1-qx)^(1/13)))))</f>
        <v>0.21245821229573</v>
      </c>
      <c r="G17" s="27" t="n">
        <f aca="false">IF(A17=1, 0, MAX(0, G16*(1-pRelComp)*(1-(1-(1-qx)^(1/13)))+C16*pReResp*(1-(1-(1-qx)^(1/13)))))</f>
        <v>0.17763188750754</v>
      </c>
      <c r="H17" s="27" t="n">
        <f aca="false">F17+G17</f>
        <v>0.39009009980327</v>
      </c>
      <c r="I17" s="27" t="n">
        <f aca="false">I16+(1-I16)*(1-(1-qx)^(1/13))</f>
        <v>0.00184592652460326</v>
      </c>
      <c r="J17" s="27" t="n">
        <f aca="false">E17+H17+I17</f>
        <v>1</v>
      </c>
      <c r="K17" s="27" t="n">
        <f aca="false">F17</f>
        <v>0.21245821229573</v>
      </c>
      <c r="L17" s="27" t="n">
        <v>0</v>
      </c>
      <c r="M17" s="27" t="n">
        <f aca="false">pRelComp</f>
        <v>0.127454</v>
      </c>
      <c r="N17" s="25" t="n">
        <v>0</v>
      </c>
      <c r="O17" s="29" t="n">
        <v>0</v>
      </c>
      <c r="P17" s="29" t="n">
        <f aca="false">(1-I17)*cOral</f>
        <v>3.99261629390159</v>
      </c>
      <c r="Q17" s="29" t="n">
        <f aca="false">E17*cDep+H17*cResp</f>
        <v>659.877470566421</v>
      </c>
      <c r="R17" s="29" t="n">
        <f aca="false">O17+P17+Q17</f>
        <v>663.870086860322</v>
      </c>
      <c r="S17" s="26" t="n">
        <f aca="false">(E17*uDep+H17*uResp)*CycleLength</f>
        <v>0.0447406500735251</v>
      </c>
      <c r="T17" s="26" t="n">
        <f aca="false">(S17+S18)/2</f>
        <v>0.0447203918277335</v>
      </c>
      <c r="U17" s="26" t="n">
        <f aca="false">1/(1+DiscRate)^(B17+CycleLength/2)</f>
        <v>0.959812730733953</v>
      </c>
      <c r="V17" s="29" t="n">
        <f aca="false">R17*U17</f>
        <v>637.190960921993</v>
      </c>
      <c r="W17" s="26" t="n">
        <f aca="false">T17*U17</f>
        <v>0.0429232013996692</v>
      </c>
    </row>
    <row r="18" customFormat="false" ht="15" hidden="false" customHeight="true" outlineLevel="0" collapsed="false">
      <c r="A18" s="25" t="n">
        <f aca="false">A17+1</f>
        <v>16</v>
      </c>
      <c r="B18" s="26" t="n">
        <f aca="false">A18*CycleLength</f>
        <v>1.23076923076923</v>
      </c>
      <c r="C18" s="27" t="n">
        <f aca="false">MAX(0,1-I18-F18-G18-D18)</f>
        <v>0.299966446140598</v>
      </c>
      <c r="D18" s="27" t="n">
        <f aca="false">IF(A18=1, 0, F17*M18*(1-(1-(1-qx)^(1/13)))+D17*(1-pReResp)*(1-(1-(1-qx)^(1/13))))</f>
        <v>0.309095927041371</v>
      </c>
      <c r="E18" s="27" t="n">
        <f aca="false">C18+D18</f>
        <v>0.609062373181969</v>
      </c>
      <c r="F18" s="27" t="n">
        <f aca="false">IF(A18=1, C17*pRespComp*(1-(1-(1-qx)^(1/13))), MAX(0, F17*(1-M18)*(1-(1-(1-qx)^(1/13)))+D17*pReResp*(1-(1-(1-qx)^(1/13)))))</f>
        <v>0.209880262082396</v>
      </c>
      <c r="G18" s="27" t="n">
        <f aca="false">IF(A18=1, 0, MAX(0, G17*(1-pRelComp)*(1-(1-(1-qx)^(1/13)))+C17*pReResp*(1-(1-(1-qx)^(1/13)))))</f>
        <v>0.179088497665955</v>
      </c>
      <c r="H18" s="27" t="n">
        <f aca="false">F18+G18</f>
        <v>0.38896875974835</v>
      </c>
      <c r="I18" s="27" t="n">
        <f aca="false">I17+(1-I17)*(1-(1-qx)^(1/13))</f>
        <v>0.00196886706968037</v>
      </c>
      <c r="J18" s="27" t="n">
        <f aca="false">E18+H18+I18</f>
        <v>1</v>
      </c>
      <c r="K18" s="27" t="n">
        <f aca="false">F18</f>
        <v>0.209880262082396</v>
      </c>
      <c r="L18" s="27" t="n">
        <v>0</v>
      </c>
      <c r="M18" s="27" t="n">
        <f aca="false">pRelComp</f>
        <v>0.127454</v>
      </c>
      <c r="N18" s="25" t="n">
        <v>0</v>
      </c>
      <c r="O18" s="29" t="n">
        <v>0</v>
      </c>
      <c r="P18" s="29" t="n">
        <f aca="false">(1-I18)*cOral</f>
        <v>3.99212453172128</v>
      </c>
      <c r="Q18" s="29" t="n">
        <f aca="false">E18*cDep+H18*cResp</f>
        <v>660.672002317059</v>
      </c>
      <c r="R18" s="29" t="n">
        <f aca="false">O18+P18+Q18</f>
        <v>664.664126848781</v>
      </c>
      <c r="S18" s="26" t="n">
        <f aca="false">(E18*uDep+H18*uResp)*CycleLength</f>
        <v>0.0447001335819418</v>
      </c>
      <c r="T18" s="26" t="n">
        <f aca="false">(S18+S19)/2</f>
        <v>0.0446835105947488</v>
      </c>
      <c r="U18" s="26" t="n">
        <f aca="false">1/(1+DiscRate)^(B18+CycleLength/2)</f>
        <v>0.957276170931061</v>
      </c>
      <c r="V18" s="29" t="n">
        <f aca="false">R18*U18</f>
        <v>636.267130305038</v>
      </c>
      <c r="W18" s="26" t="n">
        <f aca="false">T18*U18</f>
        <v>0.0427744599258986</v>
      </c>
    </row>
    <row r="19" customFormat="false" ht="15" hidden="false" customHeight="true" outlineLevel="0" collapsed="false">
      <c r="A19" s="25" t="n">
        <f aca="false">A18+1</f>
        <v>17</v>
      </c>
      <c r="B19" s="26" t="n">
        <f aca="false">A19*CycleLength</f>
        <v>1.30769230769231</v>
      </c>
      <c r="C19" s="27" t="n">
        <f aca="false">MAX(0,1-I19-F19-G19-D19)</f>
        <v>0.298757873916925</v>
      </c>
      <c r="D19" s="27" t="n">
        <f aca="false">IF(A19=1, 0, F18*M19*(1-(1-(1-qx)^(1/13)))+D18*(1-pReResp)*(1-(1-(1-qx)^(1/13))))</f>
        <v>0.311080012008694</v>
      </c>
      <c r="E19" s="27" t="n">
        <f aca="false">C19+D19</f>
        <v>0.609837885925619</v>
      </c>
      <c r="F19" s="27" t="n">
        <f aca="false">IF(A19=1, C18*pRespComp*(1-(1-(1-qx)^(1/13))), MAX(0, F18*(1-M19)*(1-(1-(1-qx)^(1/13)))+D18*pReResp*(1-(1-(1-qx)^(1/13)))))</f>
        <v>0.207832255905644</v>
      </c>
      <c r="G19" s="27" t="n">
        <f aca="false">IF(A19=1, 0, MAX(0, G18*(1-pRelComp)*(1-(1-(1-qx)^(1/13)))+C18*pReResp*(1-(1-(1-qx)^(1/13)))))</f>
        <v>0.180238065696309</v>
      </c>
      <c r="H19" s="27" t="n">
        <f aca="false">F19+G19</f>
        <v>0.388070321601953</v>
      </c>
      <c r="I19" s="27" t="n">
        <f aca="false">I18+(1-I18)*(1-(1-qx)^(1/13))</f>
        <v>0.00209179247242822</v>
      </c>
      <c r="J19" s="27" t="n">
        <f aca="false">E19+H19+I19</f>
        <v>1</v>
      </c>
      <c r="K19" s="27" t="n">
        <f aca="false">F19</f>
        <v>0.207832255905644</v>
      </c>
      <c r="L19" s="27" t="n">
        <v>0</v>
      </c>
      <c r="M19" s="27" t="n">
        <f aca="false">pRelComp</f>
        <v>0.127454</v>
      </c>
      <c r="N19" s="25" t="n">
        <v>0</v>
      </c>
      <c r="O19" s="29" t="n">
        <v>0</v>
      </c>
      <c r="P19" s="29" t="n">
        <f aca="false">(1-I19)*cOral</f>
        <v>3.99163283011029</v>
      </c>
      <c r="Q19" s="29" t="n">
        <f aca="false">E19*cDep+H19*cResp</f>
        <v>661.284660949827</v>
      </c>
      <c r="R19" s="29" t="n">
        <f aca="false">O19+P19+Q19</f>
        <v>665.276293779937</v>
      </c>
      <c r="S19" s="26" t="n">
        <f aca="false">(E19*uDep+H19*uResp)*CycleLength</f>
        <v>0.0446668876075558</v>
      </c>
      <c r="T19" s="26" t="n">
        <f aca="false">(S19+S20)/2</f>
        <v>0.0446531454452923</v>
      </c>
      <c r="U19" s="26" t="n">
        <f aca="false">1/(1+DiscRate)^(B19+CycleLength/2)</f>
        <v>0.95474631466046</v>
      </c>
      <c r="V19" s="29" t="n">
        <f aca="false">R19*U19</f>
        <v>635.170089717365</v>
      </c>
      <c r="W19" s="26" t="n">
        <f aca="false">T19*U19</f>
        <v>0.0426324260518904</v>
      </c>
    </row>
    <row r="20" customFormat="false" ht="15" hidden="false" customHeight="true" outlineLevel="0" collapsed="false">
      <c r="A20" s="25" t="n">
        <f aca="false">A19+1</f>
        <v>18</v>
      </c>
      <c r="B20" s="26" t="n">
        <f aca="false">A20*CycleLength</f>
        <v>1.38461538461538</v>
      </c>
      <c r="C20" s="27" t="n">
        <f aca="false">MAX(0,1-I20-F20-G20-D20)</f>
        <v>0.297792623417412</v>
      </c>
      <c r="D20" s="27" t="n">
        <f aca="false">IF(A20=1, 0, F19*M20*(1-(1-(1-qx)^(1/13)))+D19*(1-pReResp)*(1-(1-(1-qx)^(1/13))))</f>
        <v>0.312644150923936</v>
      </c>
      <c r="E20" s="27" t="n">
        <f aca="false">C20+D20</f>
        <v>0.610436774341348</v>
      </c>
      <c r="F20" s="27" t="n">
        <f aca="false">IF(A20=1, C19*pRespComp*(1-(1-(1-qx)^(1/13))), MAX(0, F19*(1-M20)*(1-(1-(1-qx)^(1/13)))+D19*pReResp*(1-(1-(1-qx)^(1/13)))))</f>
        <v>0.206204203654014</v>
      </c>
      <c r="G20" s="27" t="n">
        <f aca="false">IF(A20=1, 0, MAX(0, G19*(1-pRelComp)*(1-(1-(1-qx)^(1/13)))+C19*pReResp*(1-(1-(1-qx)^(1/13)))))</f>
        <v>0.181144319269926</v>
      </c>
      <c r="H20" s="27" t="n">
        <f aca="false">F20+G20</f>
        <v>0.38734852292394</v>
      </c>
      <c r="I20" s="27" t="n">
        <f aca="false">I19+(1-I19)*(1-(1-qx)^(1/13))</f>
        <v>0.00221470273471187</v>
      </c>
      <c r="J20" s="27" t="n">
        <f aca="false">E20+H20+I20</f>
        <v>1</v>
      </c>
      <c r="K20" s="27" t="n">
        <f aca="false">F20</f>
        <v>0.206204203654014</v>
      </c>
      <c r="L20" s="27" t="n">
        <v>0</v>
      </c>
      <c r="M20" s="27" t="n">
        <f aca="false">pRelComp</f>
        <v>0.127454</v>
      </c>
      <c r="N20" s="25" t="n">
        <v>0</v>
      </c>
      <c r="O20" s="29" t="n">
        <v>0</v>
      </c>
      <c r="P20" s="29" t="n">
        <f aca="false">(1-I20)*cOral</f>
        <v>3.99114118906115</v>
      </c>
      <c r="Q20" s="29" t="n">
        <f aca="false">E20*cDep+H20*cResp</f>
        <v>661.753196614047</v>
      </c>
      <c r="R20" s="29" t="n">
        <f aca="false">O20+P20+Q20</f>
        <v>665.744337803109</v>
      </c>
      <c r="S20" s="26" t="n">
        <f aca="false">(E20*uDep+H20*uResp)*CycleLength</f>
        <v>0.0446394032830289</v>
      </c>
      <c r="T20" s="26" t="n">
        <f aca="false">(S20+S21)/2</f>
        <v>0.0446279440959446</v>
      </c>
      <c r="U20" s="26" t="n">
        <f aca="false">1/(1+DiscRate)^(B20+CycleLength/2)</f>
        <v>0.952223144206287</v>
      </c>
      <c r="V20" s="29" t="n">
        <f aca="false">R20*U20</f>
        <v>633.937166580409</v>
      </c>
      <c r="W20" s="26" t="n">
        <f aca="false">T20*U20</f>
        <v>0.0424957612465028</v>
      </c>
    </row>
    <row r="21" customFormat="false" ht="15" hidden="false" customHeight="true" outlineLevel="0" collapsed="false">
      <c r="A21" s="25" t="n">
        <f aca="false">A20+1</f>
        <v>19</v>
      </c>
      <c r="B21" s="26" t="n">
        <f aca="false">A21*CycleLength</f>
        <v>1.46153846153846</v>
      </c>
      <c r="C21" s="27" t="n">
        <f aca="false">MAX(0,1-I21-F21-G21-D21)</f>
        <v>0.297020193751095</v>
      </c>
      <c r="D21" s="27" t="n">
        <f aca="false">IF(A21=1, 0, F20*M21*(1-(1-(1-qx)^(1/13)))+D20*(1-pReResp)*(1-(1-(1-qx)^(1/13))))</f>
        <v>0.313875505272263</v>
      </c>
      <c r="E21" s="27" t="n">
        <f aca="false">C21+D21</f>
        <v>0.610895699023358</v>
      </c>
      <c r="F21" s="27" t="n">
        <f aca="false">IF(A21=1, C20*pRespComp*(1-(1-(1-qx)^(1/13))), MAX(0, F20*(1-M21)*(1-(1-(1-qx)^(1/13)))+D20*pReResp*(1-(1-(1-qx)^(1/13)))))</f>
        <v>0.204908943841371</v>
      </c>
      <c r="G21" s="27" t="n">
        <f aca="false">IF(A21=1, 0, MAX(0, G20*(1-pRelComp)*(1-(1-(1-qx)^(1/13)))+C20*pReResp*(1-(1-(1-qx)^(1/13)))))</f>
        <v>0.181857759276875</v>
      </c>
      <c r="H21" s="27" t="n">
        <f aca="false">F21+G21</f>
        <v>0.386766703118246</v>
      </c>
      <c r="I21" s="27" t="n">
        <f aca="false">I20+(1-I20)*(1-(1-qx)^(1/13))</f>
        <v>0.00233759785839614</v>
      </c>
      <c r="J21" s="27" t="n">
        <f aca="false">E21+H21+I21</f>
        <v>1</v>
      </c>
      <c r="K21" s="27" t="n">
        <f aca="false">F21</f>
        <v>0.204908943841371</v>
      </c>
      <c r="L21" s="27" t="n">
        <v>0</v>
      </c>
      <c r="M21" s="27" t="n">
        <f aca="false">pRelComp</f>
        <v>0.127454</v>
      </c>
      <c r="N21" s="25" t="n">
        <v>0</v>
      </c>
      <c r="O21" s="29" t="n">
        <v>0</v>
      </c>
      <c r="P21" s="29" t="n">
        <f aca="false">(1-I21)*cOral</f>
        <v>3.99064960856642</v>
      </c>
      <c r="Q21" s="29" t="n">
        <f aca="false">E21*cDep+H21*cResp</f>
        <v>662.107524354283</v>
      </c>
      <c r="R21" s="29" t="n">
        <f aca="false">O21+P21+Q21</f>
        <v>666.09817396285</v>
      </c>
      <c r="S21" s="26" t="n">
        <f aca="false">(E21*uDep+H21*uResp)*CycleLength</f>
        <v>0.0446164849088604</v>
      </c>
      <c r="T21" s="26" t="n">
        <f aca="false">(S21+S22)/2</f>
        <v>0.0446068349318783</v>
      </c>
      <c r="U21" s="26" t="n">
        <f aca="false">1/(1+DiscRate)^(B21+CycleLength/2)</f>
        <v>0.949706641899499</v>
      </c>
      <c r="V21" s="29" t="n">
        <f aca="false">R21*U21</f>
        <v>632.597859969646</v>
      </c>
      <c r="W21" s="26" t="n">
        <f aca="false">T21*U21</f>
        <v>0.0423634074089194</v>
      </c>
    </row>
    <row r="22" customFormat="false" ht="15" hidden="false" customHeight="true" outlineLevel="0" collapsed="false">
      <c r="A22" s="25" t="n">
        <f aca="false">A21+1</f>
        <v>20</v>
      </c>
      <c r="B22" s="26" t="n">
        <f aca="false">A22*CycleLength</f>
        <v>1.53846153846154</v>
      </c>
      <c r="C22" s="27" t="n">
        <f aca="false">MAX(0,1-I22-F22-G22-D22)</f>
        <v>0.296400565568434</v>
      </c>
      <c r="D22" s="27" t="n">
        <f aca="false">IF(A22=1, 0, F21*M22*(1-(1-(1-qx)^(1/13)))+D21*(1-pReResp)*(1-(1-(1-qx)^(1/13))))</f>
        <v>0.314843146031598</v>
      </c>
      <c r="E22" s="27" t="n">
        <f aca="false">C22+D22</f>
        <v>0.611243711600032</v>
      </c>
      <c r="F22" s="27" t="n">
        <f aca="false">IF(A22=1, C21*pRespComp*(1-(1-(1-qx)^(1/13))), MAX(0, F21*(1-M22)*(1-(1-(1-qx)^(1/13)))+D21*pReResp*(1-(1-(1-qx)^(1/13)))))</f>
        <v>0.203877405488823</v>
      </c>
      <c r="G22" s="27" t="n">
        <f aca="false">IF(A22=1, 0, MAX(0, G21*(1-pRelComp)*(1-(1-(1-qx)^(1/13)))+C21*pReResp*(1-(1-(1-qx)^(1/13)))))</f>
        <v>0.1824184050658</v>
      </c>
      <c r="H22" s="27" t="n">
        <f aca="false">F22+G22</f>
        <v>0.386295810554623</v>
      </c>
      <c r="I22" s="27" t="n">
        <f aca="false">I21+(1-I21)*(1-(1-qx)^(1/13))</f>
        <v>0.00246047784534562</v>
      </c>
      <c r="J22" s="27" t="n">
        <f aca="false">E22+H22+I22</f>
        <v>1</v>
      </c>
      <c r="K22" s="27" t="n">
        <f aca="false">F22</f>
        <v>0.203877405488823</v>
      </c>
      <c r="L22" s="27" t="n">
        <v>0</v>
      </c>
      <c r="M22" s="27" t="n">
        <f aca="false">pRelComp</f>
        <v>0.127454</v>
      </c>
      <c r="N22" s="25" t="n">
        <v>0</v>
      </c>
      <c r="O22" s="29" t="n">
        <v>0</v>
      </c>
      <c r="P22" s="29" t="n">
        <f aca="false">(1-I22)*cOral</f>
        <v>3.99015808861862</v>
      </c>
      <c r="Q22" s="29" t="n">
        <f aca="false">E22*cDep+H22*cResp</f>
        <v>662.371350298989</v>
      </c>
      <c r="R22" s="29" t="n">
        <f aca="false">O22+P22+Q22</f>
        <v>666.361508387608</v>
      </c>
      <c r="S22" s="26" t="n">
        <f aca="false">(E22*uDep+H22*uResp)*CycleLength</f>
        <v>0.0445971849548962</v>
      </c>
      <c r="T22" s="26" t="n">
        <f aca="false">(S22+S23)/2</f>
        <v>0.0445889687536381</v>
      </c>
      <c r="U22" s="26" t="n">
        <f aca="false">1/(1+DiscRate)^(B22+CycleLength/2)</f>
        <v>0.947196790117746</v>
      </c>
      <c r="V22" s="29" t="n">
        <f aca="false">R22*U22</f>
        <v>631.175481802762</v>
      </c>
      <c r="W22" s="26" t="n">
        <f aca="false">T22*U22</f>
        <v>0.0422345280781064</v>
      </c>
    </row>
    <row r="23" customFormat="false" ht="15" hidden="false" customHeight="true" outlineLevel="0" collapsed="false">
      <c r="A23" s="25" t="n">
        <f aca="false">A22+1</f>
        <v>21</v>
      </c>
      <c r="B23" s="26" t="n">
        <f aca="false">A23*CycleLength</f>
        <v>1.61538461538462</v>
      </c>
      <c r="C23" s="27" t="n">
        <f aca="false">MAX(0,1-I23-F23-G23-D23)</f>
        <v>0.295902025600455</v>
      </c>
      <c r="D23" s="27" t="n">
        <f aca="false">IF(A23=1, 0, F22*M23*(1-(1-(1-qx)^(1/13)))+D22*(1-pReResp)*(1-(1-(1-qx)^(1/13))))</f>
        <v>0.315601808386638</v>
      </c>
      <c r="E23" s="27" t="n">
        <f aca="false">C23+D23</f>
        <v>0.611503833987092</v>
      </c>
      <c r="F23" s="27" t="n">
        <f aca="false">IF(A23=1, C22*pRespComp*(1-(1-(1-qx)^(1/13))), MAX(0, F22*(1-M23)*(1-(1-(1-qx)^(1/13)))+D22*pReResp*(1-(1-(1-qx)^(1/13)))))</f>
        <v>0.203054853410702</v>
      </c>
      <c r="G23" s="27" t="n">
        <f aca="false">IF(A23=1, 0, MAX(0, G22*(1-pRelComp)*(1-(1-(1-qx)^(1/13)))+C22*pReResp*(1-(1-(1-qx)^(1/13)))))</f>
        <v>0.182857969904781</v>
      </c>
      <c r="H23" s="27" t="n">
        <f aca="false">F23+G23</f>
        <v>0.385912823315483</v>
      </c>
      <c r="I23" s="27" t="n">
        <f aca="false">I22+(1-I22)*(1-(1-qx)^(1/13))</f>
        <v>0.00258334269742466</v>
      </c>
      <c r="J23" s="27" t="n">
        <f aca="false">E23+H23+I23</f>
        <v>1</v>
      </c>
      <c r="K23" s="27" t="n">
        <f aca="false">F23</f>
        <v>0.203054853410702</v>
      </c>
      <c r="L23" s="27" t="n">
        <v>0</v>
      </c>
      <c r="M23" s="27" t="n">
        <f aca="false">pRelComp</f>
        <v>0.127454</v>
      </c>
      <c r="N23" s="25" t="n">
        <v>0</v>
      </c>
      <c r="O23" s="29" t="n">
        <v>0</v>
      </c>
      <c r="P23" s="29" t="n">
        <f aca="false">(1-I23)*cOral</f>
        <v>3.9896666292103</v>
      </c>
      <c r="Q23" s="29" t="n">
        <f aca="false">E23*cDep+H23*cResp</f>
        <v>662.56346033109</v>
      </c>
      <c r="R23" s="29" t="n">
        <f aca="false">O23+P23+Q23</f>
        <v>666.5531269603</v>
      </c>
      <c r="S23" s="26" t="n">
        <f aca="false">(E23*uDep+H23*uResp)*CycleLength</f>
        <v>0.0445807525523799</v>
      </c>
      <c r="T23" s="26" t="n">
        <f aca="false">(S23+S24)/2</f>
        <v>0.0445736726144708</v>
      </c>
      <c r="U23" s="26" t="n">
        <f aca="false">1/(1+DiscRate)^(B23+CycleLength/2)</f>
        <v>0.944693571285252</v>
      </c>
      <c r="V23" s="29" t="n">
        <f aca="false">R23*U23</f>
        <v>629.688453959477</v>
      </c>
      <c r="W23" s="26" t="n">
        <f aca="false">T23*U23</f>
        <v>0.042108461967464</v>
      </c>
    </row>
    <row r="24" customFormat="false" ht="15" hidden="false" customHeight="true" outlineLevel="0" collapsed="false">
      <c r="A24" s="25" t="n">
        <f aca="false">A23+1</f>
        <v>22</v>
      </c>
      <c r="B24" s="26" t="n">
        <f aca="false">A24*CycleLength</f>
        <v>1.69230769230769</v>
      </c>
      <c r="C24" s="27" t="n">
        <f aca="false">MAX(0,1-I24-F24-G24-D24)</f>
        <v>0.295499442718299</v>
      </c>
      <c r="D24" s="27" t="n">
        <f aca="false">IF(A24=1, 0, F23*M24*(1-(1-(1-qx)^(1/13)))+D23*(1-pReResp)*(1-(1-(1-qx)^(1/13))))</f>
        <v>0.316194867145907</v>
      </c>
      <c r="E24" s="27" t="n">
        <f aca="false">C24+D24</f>
        <v>0.611694309864206</v>
      </c>
      <c r="F24" s="27" t="n">
        <f aca="false">IF(A24=1, C23*pRespComp*(1-(1-(1-qx)^(1/13))), MAX(0, F23*(1-M24)*(1-(1-(1-qx)^(1/13)))+D23*pReResp*(1-(1-(1-qx)^(1/13)))))</f>
        <v>0.202397912797515</v>
      </c>
      <c r="G24" s="27" t="n">
        <f aca="false">IF(A24=1, 0, MAX(0, G23*(1-pRelComp)*(1-(1-(1-qx)^(1/13)))+C23*pReResp*(1-(1-(1-qx)^(1/13)))))</f>
        <v>0.183201584921782</v>
      </c>
      <c r="H24" s="27" t="n">
        <f aca="false">F24+G24</f>
        <v>0.385599497719297</v>
      </c>
      <c r="I24" s="27" t="n">
        <f aca="false">I23+(1-I23)*(1-(1-qx)^(1/13))</f>
        <v>0.0027061924164974</v>
      </c>
      <c r="J24" s="27" t="n">
        <f aca="false">E24+H24+I24</f>
        <v>1</v>
      </c>
      <c r="K24" s="27" t="n">
        <f aca="false">F24</f>
        <v>0.202397912797515</v>
      </c>
      <c r="L24" s="27" t="n">
        <v>0</v>
      </c>
      <c r="M24" s="27" t="n">
        <f aca="false">pRelComp</f>
        <v>0.127454</v>
      </c>
      <c r="N24" s="25" t="n">
        <v>0</v>
      </c>
      <c r="O24" s="29" t="n">
        <v>0</v>
      </c>
      <c r="P24" s="29" t="n">
        <f aca="false">(1-I24)*cOral</f>
        <v>3.98917523033401</v>
      </c>
      <c r="Q24" s="29" t="n">
        <f aca="false">E24*cDep+H24*cResp</f>
        <v>662.698741292886</v>
      </c>
      <c r="R24" s="29" t="n">
        <f aca="false">O24+P24+Q24</f>
        <v>666.687916523221</v>
      </c>
      <c r="S24" s="26" t="n">
        <f aca="false">(E24*uDep+H24*uResp)*CycleLength</f>
        <v>0.0445665926765617</v>
      </c>
      <c r="T24" s="26" t="n">
        <f aca="false">(S24+S25)/2</f>
        <v>0.0445604132387924</v>
      </c>
      <c r="U24" s="26" t="n">
        <f aca="false">1/(1+DiscRate)^(B24+CycleLength/2)</f>
        <v>0.942196967872688</v>
      </c>
      <c r="V24" s="29" t="n">
        <f aca="false">R24*U24</f>
        <v>628.151333465538</v>
      </c>
      <c r="W24" s="26" t="n">
        <f aca="false">T24*U24</f>
        <v>0.0419846862407442</v>
      </c>
    </row>
    <row r="25" customFormat="false" ht="15" hidden="false" customHeight="true" outlineLevel="0" collapsed="false">
      <c r="A25" s="25" t="n">
        <f aca="false">A24+1</f>
        <v>23</v>
      </c>
      <c r="B25" s="26" t="n">
        <f aca="false">A25*CycleLength</f>
        <v>1.76923076923077</v>
      </c>
      <c r="C25" s="27" t="n">
        <f aca="false">MAX(0,1-I25-F25-G25-D25)</f>
        <v>0.295172901799407</v>
      </c>
      <c r="D25" s="27" t="n">
        <f aca="false">IF(A25=1, 0, F24*M25*(1-(1-(1-qx)^(1/13)))+D24*(1-pReResp)*(1-(1-(1-qx)^(1/13))))</f>
        <v>0.316656694606195</v>
      </c>
      <c r="E25" s="27" t="n">
        <f aca="false">C25+D25</f>
        <v>0.611829596405602</v>
      </c>
      <c r="F25" s="27" t="n">
        <f aca="false">IF(A25=1, C24*pRespComp*(1-(1-(1-qx)^(1/13))), MAX(0, F24*(1-M25)*(1-(1-(1-qx)^(1/13)))+D24*pReResp*(1-(1-(1-qx)^(1/13)))))</f>
        <v>0.201872211351503</v>
      </c>
      <c r="G25" s="27" t="n">
        <f aca="false">IF(A25=1, 0, MAX(0, G24*(1-pRelComp)*(1-(1-(1-qx)^(1/13)))+C24*pReResp*(1-(1-(1-qx)^(1/13)))))</f>
        <v>0.183469165238467</v>
      </c>
      <c r="H25" s="27" t="n">
        <f aca="false">F25+G25</f>
        <v>0.38534137658997</v>
      </c>
      <c r="I25" s="27" t="n">
        <f aca="false">I24+(1-I24)*(1-(1-qx)^(1/13))</f>
        <v>0.00282902700442774</v>
      </c>
      <c r="J25" s="27" t="n">
        <f aca="false">E25+H25+I25</f>
        <v>1</v>
      </c>
      <c r="K25" s="27" t="n">
        <f aca="false">F25</f>
        <v>0.201872211351503</v>
      </c>
      <c r="L25" s="27" t="n">
        <v>0</v>
      </c>
      <c r="M25" s="27" t="n">
        <f aca="false">pRelComp</f>
        <v>0.127454</v>
      </c>
      <c r="N25" s="25" t="n">
        <v>0</v>
      </c>
      <c r="O25" s="29" t="n">
        <v>0</v>
      </c>
      <c r="P25" s="29" t="n">
        <f aca="false">(1-I25)*cOral</f>
        <v>3.98868389198229</v>
      </c>
      <c r="Q25" s="29" t="n">
        <f aca="false">E25*cDep+H25*cResp</f>
        <v>662.788990238245</v>
      </c>
      <c r="R25" s="29" t="n">
        <f aca="false">O25+P25+Q25</f>
        <v>666.777674130227</v>
      </c>
      <c r="S25" s="26" t="n">
        <f aca="false">(E25*uDep+H25*uResp)*CycleLength</f>
        <v>0.0445542338010231</v>
      </c>
      <c r="T25" s="26" t="n">
        <f aca="false">(S25+S26)/2</f>
        <v>0.0445487680332109</v>
      </c>
      <c r="U25" s="26" t="n">
        <f aca="false">1/(1+DiscRate)^(B25+CycleLength/2)</f>
        <v>0.939706962397052</v>
      </c>
      <c r="V25" s="29" t="n">
        <f aca="false">R25*U25</f>
        <v>626.575622751087</v>
      </c>
      <c r="W25" s="26" t="n">
        <f aca="false">T25*U25</f>
        <v>0.0418627874870195</v>
      </c>
    </row>
    <row r="26" customFormat="false" ht="15" hidden="false" customHeight="true" outlineLevel="0" collapsed="false">
      <c r="A26" s="25" t="n">
        <f aca="false">A25+1</f>
        <v>24</v>
      </c>
      <c r="B26" s="26" t="n">
        <f aca="false">A26*CycleLength</f>
        <v>1.84615384615385</v>
      </c>
      <c r="C26" s="27" t="n">
        <f aca="false">MAX(0,1-I26-F26-G26-D26)</f>
        <v>0.294906621136981</v>
      </c>
      <c r="D26" s="27" t="n">
        <f aca="false">IF(A26=1, 0, F25*M26*(1-(1-(1-qx)^(1/13)))+D25*(1-pReResp)*(1-(1-(1-qx)^(1/13))))</f>
        <v>0.317014529038413</v>
      </c>
      <c r="E26" s="27" t="n">
        <f aca="false">C26+D26</f>
        <v>0.611921150175394</v>
      </c>
      <c r="F26" s="27" t="n">
        <f aca="false">IF(A26=1, C25*pRespComp*(1-(1-(1-qx)^(1/13))), MAX(0, F25*(1-M26)*(1-(1-(1-qx)^(1/13)))+D25*pReResp*(1-(1-(1-qx)^(1/13)))))</f>
        <v>0.201450510800786</v>
      </c>
      <c r="G26" s="27" t="n">
        <f aca="false">IF(A26=1, 0, MAX(0, G25*(1-pRelComp)*(1-(1-(1-qx)^(1/13)))+C25*pReResp*(1-(1-(1-qx)^(1/13)))))</f>
        <v>0.183676492560741</v>
      </c>
      <c r="H26" s="27" t="n">
        <f aca="false">F26+G26</f>
        <v>0.385127003361527</v>
      </c>
      <c r="I26" s="27" t="n">
        <f aca="false">I25+(1-I25)*(1-(1-qx)^(1/13))</f>
        <v>0.00295184646307934</v>
      </c>
      <c r="J26" s="27" t="n">
        <f aca="false">E26+H26+I26</f>
        <v>1</v>
      </c>
      <c r="K26" s="27" t="n">
        <f aca="false">F26</f>
        <v>0.201450510800786</v>
      </c>
      <c r="L26" s="27" t="n">
        <v>0</v>
      </c>
      <c r="M26" s="27" t="n">
        <f aca="false">pRelComp</f>
        <v>0.127454</v>
      </c>
      <c r="N26" s="25" t="n">
        <v>0</v>
      </c>
      <c r="O26" s="29" t="n">
        <v>0</v>
      </c>
      <c r="P26" s="29" t="n">
        <f aca="false">(1-I26)*cOral</f>
        <v>3.98819261414768</v>
      </c>
      <c r="Q26" s="29" t="n">
        <f aca="false">E26*cDep+H26*cResp</f>
        <v>662.843555723177</v>
      </c>
      <c r="R26" s="29" t="n">
        <f aca="false">O26+P26+Q26</f>
        <v>666.831748337324</v>
      </c>
      <c r="S26" s="26" t="n">
        <f aca="false">(E26*uDep+H26*uResp)*CycleLength</f>
        <v>0.0445433022653987</v>
      </c>
      <c r="T26" s="26" t="n">
        <f aca="false">(S26+S27)/2</f>
        <v>0.0445384021142585</v>
      </c>
      <c r="U26" s="26" t="n">
        <f aca="false">1/(1+DiscRate)^(B26+CycleLength/2)</f>
        <v>0.937223537421545</v>
      </c>
      <c r="V26" s="29" t="n">
        <f aca="false">R26*U26</f>
        <v>624.970410041701</v>
      </c>
      <c r="W26" s="26" t="n">
        <f aca="false">T26*U26</f>
        <v>0.0417424387806286</v>
      </c>
    </row>
    <row r="27" customFormat="false" ht="15" hidden="false" customHeight="true" outlineLevel="0" collapsed="false">
      <c r="A27" s="25" t="n">
        <f aca="false">A26+1</f>
        <v>25</v>
      </c>
      <c r="B27" s="26" t="n">
        <f aca="false">A27*CycleLength</f>
        <v>1.92307692307692</v>
      </c>
      <c r="C27" s="27" t="n">
        <f aca="false">MAX(0,1-I27-F27-G27-D27)</f>
        <v>0.29468809454286</v>
      </c>
      <c r="D27" s="27" t="n">
        <f aca="false">IF(A27=1, 0, F26*M27*(1-(1-(1-qx)^(1/13)))+D26*(1-pReResp)*(1-(1-(1-qx)^(1/13))))</f>
        <v>0.317289955366201</v>
      </c>
      <c r="E27" s="27" t="n">
        <f aca="false">C27+D27</f>
        <v>0.611978049909061</v>
      </c>
      <c r="F27" s="27" t="n">
        <f aca="false">IF(A27=1, C26*pRespComp*(1-(1-(1-qx)^(1/13))), MAX(0, F26*(1-M27)*(1-(1-(1-qx)^(1/13)))+D26*pReResp*(1-(1-(1-qx)^(1/13)))))</f>
        <v>0.201111226220756</v>
      </c>
      <c r="G27" s="27" t="n">
        <f aca="false">IF(A27=1, 0, MAX(0, G26*(1-pRelComp)*(1-(1-(1-qx)^(1/13)))+C26*pReResp*(1-(1-(1-qx)^(1/13)))))</f>
        <v>0.183836073075868</v>
      </c>
      <c r="H27" s="27" t="n">
        <f aca="false">F27+G27</f>
        <v>0.384947299296624</v>
      </c>
      <c r="I27" s="27" t="n">
        <f aca="false">I26+(1-I26)*(1-(1-qx)^(1/13))</f>
        <v>0.00307465079431566</v>
      </c>
      <c r="J27" s="27" t="n">
        <f aca="false">E27+H27+I27</f>
        <v>1</v>
      </c>
      <c r="K27" s="27" t="n">
        <f aca="false">F27</f>
        <v>0.201111226220756</v>
      </c>
      <c r="L27" s="27" t="n">
        <v>0</v>
      </c>
      <c r="M27" s="27" t="n">
        <f aca="false">pRelComp</f>
        <v>0.127454</v>
      </c>
      <c r="N27" s="25" t="n">
        <v>0</v>
      </c>
      <c r="O27" s="29" t="n">
        <v>0</v>
      </c>
      <c r="P27" s="29" t="n">
        <f aca="false">(1-I27)*cOral</f>
        <v>3.98770139682274</v>
      </c>
      <c r="Q27" s="29" t="n">
        <f aca="false">E27*cDep+H27*cResp</f>
        <v>662.869845995526</v>
      </c>
      <c r="R27" s="29" t="n">
        <f aca="false">O27+P27+Q27</f>
        <v>666.857547392348</v>
      </c>
      <c r="S27" s="26" t="n">
        <f aca="false">(E27*uDep+H27*uResp)*CycleLength</f>
        <v>0.0445335019631184</v>
      </c>
      <c r="T27" s="26" t="n">
        <f aca="false">(S27+S28)/2</f>
        <v>0.0445290501040552</v>
      </c>
      <c r="U27" s="26" t="n">
        <f aca="false">1/(1+DiscRate)^(B27+CycleLength/2)</f>
        <v>0.93474667555545</v>
      </c>
      <c r="V27" s="29" t="n">
        <f aca="false">R27*U27</f>
        <v>623.342875494059</v>
      </c>
      <c r="W27" s="26" t="n">
        <f aca="false">T27*U27</f>
        <v>0.0416233815504077</v>
      </c>
    </row>
    <row r="28" customFormat="false" ht="15" hidden="false" customHeight="true" outlineLevel="0" collapsed="false">
      <c r="A28" s="25" t="n">
        <f aca="false">A27+1</f>
        <v>26</v>
      </c>
      <c r="B28" s="26" t="n">
        <f aca="false">A28*CycleLength</f>
        <v>2</v>
      </c>
      <c r="C28" s="27" t="n">
        <f aca="false">MAX(0,1-I28-F28-G28-D28)</f>
        <v>0.294507411508335</v>
      </c>
      <c r="D28" s="27" t="n">
        <f aca="false">IF(A28=1, 0, F27*M28*(1-(1-(1-qx)^(1/13)))+D27*(1-pReResp)*(1-(1-(1-qx)^(1/13))))</f>
        <v>0.317500078527285</v>
      </c>
      <c r="E28" s="27" t="n">
        <f aca="false">C28+D28</f>
        <v>0.61200749003562</v>
      </c>
      <c r="F28" s="27" t="n">
        <f aca="false">IF(A28=1, C27*pRespComp*(1-(1-(1-qx)^(1/13))), MAX(0, F27*(1-M28)*(1-(1-(1-qx)^(1/13)))+D27*pReResp*(1-(1-(1-qx)^(1/13)))))</f>
        <v>0.200837252672716</v>
      </c>
      <c r="G28" s="27" t="n">
        <f aca="false">IF(A28=1, 0, MAX(0, G27*(1-pRelComp)*(1-(1-(1-qx)^(1/13)))+C27*pReResp*(1-(1-(1-qx)^(1/13)))))</f>
        <v>0.183957817291664</v>
      </c>
      <c r="H28" s="27" t="n">
        <f aca="false">F28+G28</f>
        <v>0.38479506996438</v>
      </c>
      <c r="I28" s="27" t="n">
        <f aca="false">I27+(1-I27)*(1-(1-qx)^(1/13))</f>
        <v>0.0031974399999999</v>
      </c>
      <c r="J28" s="27" t="n">
        <f aca="false">E28+H28+I28</f>
        <v>1</v>
      </c>
      <c r="K28" s="27" t="n">
        <f aca="false">F28</f>
        <v>0.200837252672716</v>
      </c>
      <c r="L28" s="27" t="n">
        <v>0</v>
      </c>
      <c r="M28" s="27" t="n">
        <f aca="false">pRelComp</f>
        <v>0.127454</v>
      </c>
      <c r="N28" s="25" t="n">
        <v>0</v>
      </c>
      <c r="O28" s="29" t="n">
        <v>0</v>
      </c>
      <c r="P28" s="29" t="n">
        <f aca="false">(1-I28)*cOral</f>
        <v>3.98721024</v>
      </c>
      <c r="Q28" s="29" t="n">
        <f aca="false">E28*cDep+H28*cResp</f>
        <v>662.873731709066</v>
      </c>
      <c r="R28" s="29" t="n">
        <f aca="false">O28+P28+Q28</f>
        <v>666.860941949066</v>
      </c>
      <c r="S28" s="26" t="n">
        <f aca="false">(E28*uDep+H28*uResp)*CycleLength</f>
        <v>0.0445245982449921</v>
      </c>
      <c r="T28" s="26" t="n">
        <f aca="false">(S28+S29)/2</f>
        <v>0.0445205017043116</v>
      </c>
      <c r="U28" s="26" t="n">
        <f aca="false">1/(1+DiscRate)^(B28+CycleLength/2)</f>
        <v>0.932276359454009</v>
      </c>
      <c r="V28" s="29" t="n">
        <f aca="false">R28*U28</f>
        <v>621.698691222346</v>
      </c>
      <c r="W28" s="26" t="n">
        <f aca="false">T28*U28</f>
        <v>0.0415054112499616</v>
      </c>
    </row>
    <row r="29" customFormat="false" ht="15" hidden="false" customHeight="true" outlineLevel="0" collapsed="false">
      <c r="A29" s="25" t="n">
        <f aca="false">A28+1</f>
        <v>27</v>
      </c>
      <c r="B29" s="26" t="n">
        <f aca="false">A29*CycleLength</f>
        <v>2.07692307692308</v>
      </c>
      <c r="C29" s="27" t="n">
        <f aca="false">MAX(0,1-I29-F29-G29-D29)</f>
        <v>0.294356718466686</v>
      </c>
      <c r="D29" s="27" t="n">
        <f aca="false">IF(A29=1, 0, F28*M29*(1-(1-(1-qx)^(1/13)))+D28*(1-pReResp)*(1-(1-(1-qx)^(1/13))))</f>
        <v>0.317658453301798</v>
      </c>
      <c r="E29" s="27" t="n">
        <f aca="false">C29+D29</f>
        <v>0.612015171768484</v>
      </c>
      <c r="F29" s="27" t="n">
        <f aca="false">IF(A29=1, C28*pRespComp*(1-(1-(1-qx)^(1/13))), MAX(0, F28*(1-M29)*(1-(1-(1-qx)^(1/13)))+D28*pReResp*(1-(1-(1-qx)^(1/13)))))</f>
        <v>0.200615035375565</v>
      </c>
      <c r="G29" s="27" t="n">
        <f aca="false">IF(A29=1, 0, MAX(0, G28*(1-pRelComp)*(1-(1-(1-qx)^(1/13)))+C28*pReResp*(1-(1-(1-qx)^(1/13)))))</f>
        <v>0.184049578773956</v>
      </c>
      <c r="H29" s="27" t="n">
        <f aca="false">F29+G29</f>
        <v>0.384664614149521</v>
      </c>
      <c r="I29" s="27" t="n">
        <f aca="false">I28+(1-I28)*(1-(1-qx)^(1/13))</f>
        <v>0.00332021408199504</v>
      </c>
      <c r="J29" s="27" t="n">
        <f aca="false">E29+H29+I29</f>
        <v>1</v>
      </c>
      <c r="K29" s="27" t="n">
        <f aca="false">F29</f>
        <v>0.200615035375565</v>
      </c>
      <c r="L29" s="27" t="n">
        <v>0</v>
      </c>
      <c r="M29" s="27" t="n">
        <f aca="false">pRelComp</f>
        <v>0.127454</v>
      </c>
      <c r="N29" s="25" t="n">
        <v>0</v>
      </c>
      <c r="O29" s="29" t="n">
        <v>0</v>
      </c>
      <c r="P29" s="29" t="n">
        <f aca="false">(1-I29)*cOral</f>
        <v>3.98671914367202</v>
      </c>
      <c r="Q29" s="29" t="n">
        <f aca="false">E29*cDep+H29*cResp</f>
        <v>662.859865053636</v>
      </c>
      <c r="R29" s="29" t="n">
        <f aca="false">O29+P29+Q29</f>
        <v>666.846584197308</v>
      </c>
      <c r="S29" s="26" t="n">
        <f aca="false">(E29*uDep+H29*uResp)*CycleLength</f>
        <v>0.0445164051636311</v>
      </c>
      <c r="T29" s="26" t="n">
        <f aca="false">(S29+S30)/2</f>
        <v>0.0445125902644709</v>
      </c>
      <c r="U29" s="26" t="n">
        <f aca="false">1/(1+DiscRate)^(B29+CycleLength/2)</f>
        <v>0.929812571818301</v>
      </c>
      <c r="V29" s="29" t="n">
        <f aca="false">R29*U29</f>
        <v>620.042337460748</v>
      </c>
      <c r="W29" s="26" t="n">
        <f aca="false">T29*U29</f>
        <v>0.041388366032102</v>
      </c>
    </row>
    <row r="30" customFormat="false" ht="15" hidden="false" customHeight="true" outlineLevel="0" collapsed="false">
      <c r="A30" s="25" t="n">
        <f aca="false">A29+1</f>
        <v>28</v>
      </c>
      <c r="B30" s="26" t="n">
        <f aca="false">A30*CycleLength</f>
        <v>2.15384615384615</v>
      </c>
      <c r="C30" s="27" t="n">
        <f aca="false">MAX(0,1-I30-F30-G30-D30)</f>
        <v>0.29422979187154</v>
      </c>
      <c r="D30" s="27" t="n">
        <f aca="false">IF(A30=1, 0, F29*M30*(1-(1-(1-qx)^(1/13)))+D29*(1-pReResp)*(1-(1-(1-qx)^(1/13))))</f>
        <v>0.317775821153227</v>
      </c>
      <c r="E30" s="27" t="n">
        <f aca="false">C30+D30</f>
        <v>0.612005613024767</v>
      </c>
      <c r="F30" s="27" t="n">
        <f aca="false">IF(A30=1, C29*pRespComp*(1-(1-(1-qx)^(1/13))), MAX(0, F29*(1-M30)*(1-(1-(1-qx)^(1/13)))+D29*pReResp*(1-(1-(1-qx)^(1/13)))))</f>
        <v>0.200433832864849</v>
      </c>
      <c r="G30" s="27" t="n">
        <f aca="false">IF(A30=1, 0, MAX(0, G29*(1-pRelComp)*(1-(1-(1-qx)^(1/13)))+C29*pReResp*(1-(1-(1-qx)^(1/13)))))</f>
        <v>0.184117581068221</v>
      </c>
      <c r="H30" s="27" t="n">
        <f aca="false">F30+G30</f>
        <v>0.38455141393307</v>
      </c>
      <c r="I30" s="27" t="n">
        <f aca="false">I29+(1-I29)*(1-(1-qx)^(1/13))</f>
        <v>0.00344297304216384</v>
      </c>
      <c r="J30" s="27" t="n">
        <f aca="false">E30+H30+I30</f>
        <v>1</v>
      </c>
      <c r="K30" s="27" t="n">
        <f aca="false">F30</f>
        <v>0.200433832864849</v>
      </c>
      <c r="L30" s="27" t="n">
        <v>0</v>
      </c>
      <c r="M30" s="27" t="n">
        <f aca="false">pRelComp</f>
        <v>0.127454</v>
      </c>
      <c r="N30" s="25" t="n">
        <v>0</v>
      </c>
      <c r="O30" s="29" t="n">
        <v>0</v>
      </c>
      <c r="P30" s="29" t="n">
        <f aca="false">(1-I30)*cOral</f>
        <v>3.98622810783134</v>
      </c>
      <c r="Q30" s="29" t="n">
        <f aca="false">E30*cDep+H30*cResp</f>
        <v>662.831932649295</v>
      </c>
      <c r="R30" s="29" t="n">
        <f aca="false">O30+P30+Q30</f>
        <v>666.818160757126</v>
      </c>
      <c r="S30" s="26" t="n">
        <f aca="false">(E30*uDep+H30*uResp)*CycleLength</f>
        <v>0.0445087753653107</v>
      </c>
      <c r="T30" s="26" t="n">
        <f aca="false">(S30+S31)/2</f>
        <v>0.0445051837225515</v>
      </c>
      <c r="U30" s="26" t="n">
        <f aca="false">1/(1+DiscRate)^(B30+CycleLength/2)</f>
        <v>0.927355295395124</v>
      </c>
      <c r="V30" s="29" t="n">
        <f aca="false">R30*U30</f>
        <v>618.377352443758</v>
      </c>
      <c r="W30" s="26" t="n">
        <f aca="false">T30*U30</f>
        <v>0.041272117797641</v>
      </c>
    </row>
    <row r="31" customFormat="false" ht="15" hidden="false" customHeight="true" outlineLevel="0" collapsed="false">
      <c r="A31" s="25" t="n">
        <f aca="false">A30+1</f>
        <v>29</v>
      </c>
      <c r="B31" s="26" t="n">
        <f aca="false">A31*CycleLength</f>
        <v>2.23076923076923</v>
      </c>
      <c r="C31" s="27" t="n">
        <f aca="false">MAX(0,1-I31-F31-G31-D31)</f>
        <v>0.294121699883523</v>
      </c>
      <c r="D31" s="27" t="n">
        <f aca="false">IF(A31=1, 0, F30*M31*(1-(1-(1-qx)^(1/13)))+D30*(1-pReResp)*(1-(1-(1-qx)^(1/13))))</f>
        <v>0.317860694136825</v>
      </c>
      <c r="E31" s="27" t="n">
        <f aca="false">C31+D31</f>
        <v>0.611982394020348</v>
      </c>
      <c r="F31" s="27" t="n">
        <f aca="false">IF(A31=1, C30*pRespComp*(1-(1-(1-qx)^(1/13))), MAX(0, F30*(1-M31)*(1-(1-(1-qx)^(1/13)))+D30*pReResp*(1-(1-(1-qx)^(1/13)))))</f>
        <v>0.200285133084344</v>
      </c>
      <c r="G31" s="27" t="n">
        <f aca="false">IF(A31=1, 0, MAX(0, G30*(1-pRelComp)*(1-(1-(1-qx)^(1/13)))+C30*pReResp*(1-(1-(1-qx)^(1/13)))))</f>
        <v>0.184166756012939</v>
      </c>
      <c r="H31" s="27" t="n">
        <f aca="false">F31+G31</f>
        <v>0.384451889097283</v>
      </c>
      <c r="I31" s="27" t="n">
        <f aca="false">I30+(1-I30)*(1-(1-qx)^(1/13))</f>
        <v>0.00356571688236883</v>
      </c>
      <c r="J31" s="27" t="n">
        <f aca="false">E31+H31+I31</f>
        <v>1</v>
      </c>
      <c r="K31" s="27" t="n">
        <f aca="false">F31</f>
        <v>0.200285133084344</v>
      </c>
      <c r="L31" s="27" t="n">
        <v>0</v>
      </c>
      <c r="M31" s="27" t="n">
        <f aca="false">pRelComp</f>
        <v>0.127454</v>
      </c>
      <c r="N31" s="25" t="n">
        <v>0</v>
      </c>
      <c r="O31" s="29" t="n">
        <v>0</v>
      </c>
      <c r="P31" s="29" t="n">
        <f aca="false">(1-I31)*cOral</f>
        <v>3.98573713247052</v>
      </c>
      <c r="Q31" s="29" t="n">
        <f aca="false">E31*cDep+H31*cResp</f>
        <v>662.792855951895</v>
      </c>
      <c r="R31" s="29" t="n">
        <f aca="false">O31+P31+Q31</f>
        <v>666.778593084366</v>
      </c>
      <c r="S31" s="26" t="n">
        <f aca="false">(E31*uDep+H31*uResp)*CycleLength</f>
        <v>0.0445015920797923</v>
      </c>
      <c r="T31" s="26" t="n">
        <f aca="false">(S31+S32)/2</f>
        <v>0.0444981774262322</v>
      </c>
      <c r="U31" s="26" t="n">
        <f aca="false">1/(1+DiscRate)^(B31+CycleLength/2)</f>
        <v>0.924904512976871</v>
      </c>
      <c r="V31" s="29" t="n">
        <f aca="false">R31*U31</f>
        <v>616.706529900098</v>
      </c>
      <c r="W31" s="26" t="n">
        <f aca="false">T31*U31</f>
        <v>0.0411565651207677</v>
      </c>
    </row>
    <row r="32" customFormat="false" ht="15" hidden="false" customHeight="true" outlineLevel="0" collapsed="false">
      <c r="A32" s="25" t="n">
        <f aca="false">A31+1</f>
        <v>30</v>
      </c>
      <c r="B32" s="26" t="n">
        <f aca="false">A32*CycleLength</f>
        <v>2.30769230769231</v>
      </c>
      <c r="C32" s="27" t="n">
        <f aca="false">MAX(0,1-I32-F32-G32-D32)</f>
        <v>0.294028534274378</v>
      </c>
      <c r="D32" s="27" t="n">
        <f aca="false">IF(A32=1, 0, F31*M32*(1-(1-(1-qx)^(1/13)))+D31*(1-pReResp)*(1-(1-(1-qx)^(1/13))))</f>
        <v>0.317919817616898</v>
      </c>
      <c r="E32" s="27" t="n">
        <f aca="false">C32+D32</f>
        <v>0.611948351891276</v>
      </c>
      <c r="F32" s="27" t="n">
        <f aca="false">IF(A32=1, C31*pRespComp*(1-(1-(1-qx)^(1/13))), MAX(0, F31*(1-M32)*(1-(1-(1-qx)^(1/13)))+D31*pReResp*(1-(1-(1-qx)^(1/13)))))</f>
        <v>0.200162190668777</v>
      </c>
      <c r="G32" s="27" t="n">
        <f aca="false">IF(A32=1, 0, MAX(0, G31*(1-pRelComp)*(1-(1-(1-qx)^(1/13)))+C31*pReResp*(1-(1-(1-qx)^(1/13)))))</f>
        <v>0.184201011835475</v>
      </c>
      <c r="H32" s="27" t="n">
        <f aca="false">F32+G32</f>
        <v>0.384363202504252</v>
      </c>
      <c r="I32" s="27" t="n">
        <f aca="false">I31+(1-I31)*(1-(1-qx)^(1/13))</f>
        <v>0.00368844560447228</v>
      </c>
      <c r="J32" s="27" t="n">
        <f aca="false">E32+H32+I32</f>
        <v>1</v>
      </c>
      <c r="K32" s="27" t="n">
        <f aca="false">F32</f>
        <v>0.200162190668777</v>
      </c>
      <c r="L32" s="27" t="n">
        <v>0</v>
      </c>
      <c r="M32" s="27" t="n">
        <f aca="false">pRelComp</f>
        <v>0.127454</v>
      </c>
      <c r="N32" s="25" t="n">
        <v>0</v>
      </c>
      <c r="O32" s="29" t="n">
        <v>0</v>
      </c>
      <c r="P32" s="29" t="n">
        <f aca="false">(1-I32)*cOral</f>
        <v>3.98524621758211</v>
      </c>
      <c r="Q32" s="29" t="n">
        <f aca="false">E32*cDep+H32*cResp</f>
        <v>662.744950064148</v>
      </c>
      <c r="R32" s="29" t="n">
        <f aca="false">O32+P32+Q32</f>
        <v>666.73019628173</v>
      </c>
      <c r="S32" s="26" t="n">
        <f aca="false">(E32*uDep+H32*uResp)*CycleLength</f>
        <v>0.0444947627726721</v>
      </c>
      <c r="T32" s="26" t="n">
        <f aca="false">(S32+S33)/2</f>
        <v>0.0444914884439331</v>
      </c>
      <c r="U32" s="26" t="n">
        <f aca="false">1/(1+DiscRate)^(B32+CycleLength/2)</f>
        <v>0.922460207401411</v>
      </c>
      <c r="V32" s="29" t="n">
        <f aca="false">R32*U32</f>
        <v>615.032075142828</v>
      </c>
      <c r="W32" s="26" t="n">
        <f aca="false">T32*U32</f>
        <v>0.041041627657588</v>
      </c>
    </row>
    <row r="33" customFormat="false" ht="15" hidden="false" customHeight="true" outlineLevel="0" collapsed="false">
      <c r="A33" s="25" t="n">
        <f aca="false">A32+1</f>
        <v>31</v>
      </c>
      <c r="B33" s="26" t="n">
        <f aca="false">A33*CycleLength</f>
        <v>2.38461538461538</v>
      </c>
      <c r="C33" s="27" t="n">
        <f aca="false">MAX(0,1-I33-F33-G33-D33)</f>
        <v>0.293947197974826</v>
      </c>
      <c r="D33" s="27" t="n">
        <f aca="false">IF(A33=1, 0, F32*M33*(1-(1-(1-qx)^(1/13)))+D32*(1-pReResp)*(1-(1-(1-qx)^(1/13))))</f>
        <v>0.317958536946366</v>
      </c>
      <c r="E33" s="27" t="n">
        <f aca="false">C33+D33</f>
        <v>0.611905734921192</v>
      </c>
      <c r="F33" s="27" t="n">
        <f aca="false">IF(A33=1, C32*pRespComp*(1-(1-(1-qx)^(1/13))), MAX(0, F32*(1-M33)*(1-(1-(1-qx)^(1/13)))+D32*pReResp*(1-(1-(1-qx)^(1/13)))))</f>
        <v>0.20005966026426</v>
      </c>
      <c r="G33" s="27" t="n">
        <f aca="false">IF(A33=1, 0, MAX(0, G32*(1-pRelComp)*(1-(1-(1-qx)^(1/13)))+C32*pReResp*(1-(1-(1-qx)^(1/13)))))</f>
        <v>0.184223445604212</v>
      </c>
      <c r="H33" s="27" t="n">
        <f aca="false">F33+G33</f>
        <v>0.384283105868472</v>
      </c>
      <c r="I33" s="27" t="n">
        <f aca="false">I32+(1-I32)*(1-(1-qx)^(1/13))</f>
        <v>0.00381115921033628</v>
      </c>
      <c r="J33" s="27" t="n">
        <f aca="false">E33+H33+I33</f>
        <v>1</v>
      </c>
      <c r="K33" s="27" t="n">
        <f aca="false">F33</f>
        <v>0.20005966026426</v>
      </c>
      <c r="L33" s="27" t="n">
        <v>0</v>
      </c>
      <c r="M33" s="27" t="n">
        <f aca="false">pRelComp</f>
        <v>0.127454</v>
      </c>
      <c r="N33" s="25" t="n">
        <v>0</v>
      </c>
      <c r="O33" s="29" t="n">
        <v>0</v>
      </c>
      <c r="P33" s="29" t="n">
        <f aca="false">(1-I33)*cOral</f>
        <v>3.98475536315866</v>
      </c>
      <c r="Q33" s="29" t="n">
        <f aca="false">E33*cDep+H33*cResp</f>
        <v>662.690049585197</v>
      </c>
      <c r="R33" s="29" t="n">
        <f aca="false">O33+P33+Q33</f>
        <v>666.674804948356</v>
      </c>
      <c r="S33" s="26" t="n">
        <f aca="false">(E33*uDep+H33*uResp)*CycleLength</f>
        <v>0.044488214115194</v>
      </c>
      <c r="T33" s="26" t="n">
        <f aca="false">(S33+S34)/2</f>
        <v>0.0444850510566402</v>
      </c>
      <c r="U33" s="26" t="n">
        <f aca="false">1/(1+DiscRate)^(B33+CycleLength/2)</f>
        <v>0.920022361551968</v>
      </c>
      <c r="V33" s="29" t="n">
        <f aca="false">R33*U33</f>
        <v>613.355728435784</v>
      </c>
      <c r="W33" s="26" t="n">
        <f aca="false">T33*U33</f>
        <v>0.04092724172689</v>
      </c>
    </row>
    <row r="34" customFormat="false" ht="15" hidden="false" customHeight="true" outlineLevel="0" collapsed="false">
      <c r="A34" s="25" t="n">
        <f aca="false">A33+1</f>
        <v>32</v>
      </c>
      <c r="B34" s="26" t="n">
        <f aca="false">A34*CycleLength</f>
        <v>2.46153846153846</v>
      </c>
      <c r="C34" s="27" t="n">
        <f aca="false">MAX(0,1-I34-F34-G34-D34)</f>
        <v>0.293875236717207</v>
      </c>
      <c r="D34" s="27" t="n">
        <f aca="false">IF(A34=1, 0, F33*M34*(1-(1-(1-qx)^(1/13)))+D33*(1-pReResp)*(1-(1-(1-qx)^(1/13))))</f>
        <v>0.317981088041386</v>
      </c>
      <c r="E34" s="27" t="n">
        <f aca="false">C34+D34</f>
        <v>0.611856324758593</v>
      </c>
      <c r="F34" s="27" t="n">
        <f aca="false">IF(A34=1, C33*pRespComp*(1-(1-(1-qx)^(1/13))), MAX(0, F33*(1-M34)*(1-(1-(1-qx)^(1/13)))+D33*pReResp*(1-(1-(1-qx)^(1/13)))))</f>
        <v>0.199973305953667</v>
      </c>
      <c r="G34" s="27" t="n">
        <f aca="false">IF(A34=1, 0, MAX(0, G33*(1-pRelComp)*(1-(1-(1-qx)^(1/13)))+C33*pReResp*(1-(1-(1-qx)^(1/13)))))</f>
        <v>0.184236511585918</v>
      </c>
      <c r="H34" s="27" t="n">
        <f aca="false">F34+G34</f>
        <v>0.384209817539584</v>
      </c>
      <c r="I34" s="27" t="n">
        <f aca="false">I33+(1-I33)*(1-(1-qx)^(1/13))</f>
        <v>0.00393385770182266</v>
      </c>
      <c r="J34" s="27" t="n">
        <f aca="false">E34+H34+I34</f>
        <v>1</v>
      </c>
      <c r="K34" s="27" t="n">
        <f aca="false">F34</f>
        <v>0.199973305953667</v>
      </c>
      <c r="L34" s="27" t="n">
        <v>0</v>
      </c>
      <c r="M34" s="27" t="n">
        <f aca="false">pRelComp</f>
        <v>0.127454</v>
      </c>
      <c r="N34" s="25" t="n">
        <v>0</v>
      </c>
      <c r="O34" s="29" t="n">
        <v>0</v>
      </c>
      <c r="P34" s="29" t="n">
        <f aca="false">(1-I34)*cOral</f>
        <v>3.98426456919271</v>
      </c>
      <c r="Q34" s="29" t="n">
        <f aca="false">E34*cDep+H34*cResp</f>
        <v>662.629608339913</v>
      </c>
      <c r="R34" s="29" t="n">
        <f aca="false">O34+P34+Q34</f>
        <v>666.613872909106</v>
      </c>
      <c r="S34" s="26" t="n">
        <f aca="false">(E34*uDep+H34*uResp)*CycleLength</f>
        <v>0.0444818879980864</v>
      </c>
      <c r="T34" s="26" t="n">
        <f aca="false">(S34+S35)/2</f>
        <v>0.0444788131854102</v>
      </c>
      <c r="U34" s="26" t="n">
        <f aca="false">1/(1+DiscRate)^(B34+CycleLength/2)</f>
        <v>0.917590958357004</v>
      </c>
      <c r="V34" s="29" t="n">
        <f aca="false">R34*U34</f>
        <v>611.67886249674</v>
      </c>
      <c r="W34" s="26" t="n">
        <f aca="false">T34*U34</f>
        <v>0.0408133568173827</v>
      </c>
    </row>
    <row r="35" customFormat="false" ht="15" hidden="false" customHeight="true" outlineLevel="0" collapsed="false">
      <c r="A35" s="25" t="n">
        <f aca="false">A34+1</f>
        <v>33</v>
      </c>
      <c r="B35" s="26" t="n">
        <f aca="false">A35*CycleLength</f>
        <v>2.53846153846154</v>
      </c>
      <c r="C35" s="27" t="n">
        <f aca="false">MAX(0,1-I35-F35-G35-D35)</f>
        <v>0.293810705620969</v>
      </c>
      <c r="D35" s="27" t="n">
        <f aca="false">IF(A35=1, 0, F34*M35*(1-(1-(1-qx)^(1/13)))+D34*(1-pReResp)*(1-(1-(1-qx)^(1/13))))</f>
        <v>0.317990827646747</v>
      </c>
      <c r="E35" s="27" t="n">
        <f aca="false">C35+D35</f>
        <v>0.611801533267717</v>
      </c>
      <c r="F35" s="27" t="n">
        <f aca="false">IF(A35=1, C34*pRespComp*(1-(1-(1-qx)^(1/13))), MAX(0, F34*(1-M35)*(1-(1-(1-qx)^(1/13)))+D34*pReResp*(1-(1-(1-qx)^(1/13)))))</f>
        <v>0.199899770991241</v>
      </c>
      <c r="G35" s="27" t="n">
        <f aca="false">IF(A35=1, 0, MAX(0, G34*(1-pRelComp)*(1-(1-(1-qx)^(1/13)))+C34*pReResp*(1-(1-(1-qx)^(1/13)))))</f>
        <v>0.18424215466025</v>
      </c>
      <c r="H35" s="27" t="n">
        <f aca="false">F35+G35</f>
        <v>0.38414192565149</v>
      </c>
      <c r="I35" s="27" t="n">
        <f aca="false">I34+(1-I34)*(1-(1-qx)^(1/13))</f>
        <v>0.00405654108079302</v>
      </c>
      <c r="J35" s="27" t="n">
        <f aca="false">E35+H35+I35</f>
        <v>1</v>
      </c>
      <c r="K35" s="27" t="n">
        <f aca="false">F35</f>
        <v>0.199899770991241</v>
      </c>
      <c r="L35" s="27" t="n">
        <v>0</v>
      </c>
      <c r="M35" s="27" t="n">
        <f aca="false">pRelComp</f>
        <v>0.127454</v>
      </c>
      <c r="N35" s="25" t="n">
        <v>0</v>
      </c>
      <c r="O35" s="29" t="n">
        <v>0</v>
      </c>
      <c r="P35" s="29" t="n">
        <f aca="false">(1-I35)*cOral</f>
        <v>3.98377383567683</v>
      </c>
      <c r="Q35" s="29" t="n">
        <f aca="false">E35*cDep+H35*cResp</f>
        <v>662.564778409207</v>
      </c>
      <c r="R35" s="29" t="n">
        <f aca="false">O35+P35+Q35</f>
        <v>666.548552244884</v>
      </c>
      <c r="S35" s="26" t="n">
        <f aca="false">(E35*uDep+H35*uResp)*CycleLength</f>
        <v>0.0444757383727339</v>
      </c>
      <c r="T35" s="26" t="n">
        <f aca="false">(S35+S36)/2</f>
        <v>0.0444727335603511</v>
      </c>
      <c r="U35" s="26" t="n">
        <f aca="false">1/(1+DiscRate)^(B35+CycleLength/2)</f>
        <v>0.915165980790093</v>
      </c>
      <c r="V35" s="29" t="n">
        <f aca="false">R35*U35</f>
        <v>610.002559559405</v>
      </c>
      <c r="W35" s="26" t="n">
        <f aca="false">T35*U35</f>
        <v>0.0406999328271752</v>
      </c>
    </row>
    <row r="36" customFormat="false" ht="15" hidden="false" customHeight="true" outlineLevel="0" collapsed="false">
      <c r="A36" s="25" t="n">
        <f aca="false">A35+1</f>
        <v>34</v>
      </c>
      <c r="B36" s="26" t="n">
        <f aca="false">A36*CycleLength</f>
        <v>2.61538461538461</v>
      </c>
      <c r="C36" s="27" t="n">
        <f aca="false">MAX(0,1-I36-F36-G36-D36)</f>
        <v>0.293752063468547</v>
      </c>
      <c r="D36" s="27" t="n">
        <f aca="false">IF(A36=1, 0, F35*M36*(1-(1-(1-qx)^(1/13)))+D35*(1-pReResp)*(1-(1-(1-qx)^(1/13))))</f>
        <v>0.31799041580931</v>
      </c>
      <c r="E36" s="27" t="n">
        <f aca="false">C36+D36</f>
        <v>0.611742479277857</v>
      </c>
      <c r="F36" s="27" t="n">
        <f aca="false">IF(A36=1, C35*pRespComp*(1-(1-(1-qx)^(1/13))), MAX(0, F35*(1-M36)*(1-(1-(1-qx)^(1/13)))+D35*pReResp*(1-(1-(1-qx)^(1/13)))))</f>
        <v>0.199836395329154</v>
      </c>
      <c r="G36" s="27" t="n">
        <f aca="false">IF(A36=1, 0, MAX(0, G35*(1-pRelComp)*(1-(1-(1-qx)^(1/13)))+C35*pReResp*(1-(1-(1-qx)^(1/13)))))</f>
        <v>0.18424191604388</v>
      </c>
      <c r="H36" s="27" t="n">
        <f aca="false">F36+G36</f>
        <v>0.384078311373034</v>
      </c>
      <c r="I36" s="27" t="n">
        <f aca="false">I35+(1-I35)*(1-(1-qx)^(1/13))</f>
        <v>0.00417920934910873</v>
      </c>
      <c r="J36" s="27" t="n">
        <f aca="false">E36+H36+I36</f>
        <v>1</v>
      </c>
      <c r="K36" s="27" t="n">
        <f aca="false">F36</f>
        <v>0.199836395329154</v>
      </c>
      <c r="L36" s="27" t="n">
        <v>0</v>
      </c>
      <c r="M36" s="27" t="n">
        <f aca="false">pRelComp</f>
        <v>0.127454</v>
      </c>
      <c r="N36" s="25" t="n">
        <v>0</v>
      </c>
      <c r="O36" s="29" t="n">
        <v>0</v>
      </c>
      <c r="P36" s="29" t="n">
        <f aca="false">(1-I36)*cOral</f>
        <v>3.98328316260357</v>
      </c>
      <c r="Q36" s="29" t="n">
        <f aca="false">E36*cDep+H36*cResp</f>
        <v>662.496472757478</v>
      </c>
      <c r="R36" s="29" t="n">
        <f aca="false">O36+P36+Q36</f>
        <v>666.479755920081</v>
      </c>
      <c r="S36" s="26" t="n">
        <f aca="false">(E36*uDep+H36*uResp)*CycleLength</f>
        <v>0.0444697287479683</v>
      </c>
      <c r="T36" s="26" t="n">
        <f aca="false">(S36+S37)/2</f>
        <v>0.0444667794771867</v>
      </c>
      <c r="U36" s="26" t="n">
        <f aca="false">1/(1+DiscRate)^(B36+CycleLength/2)</f>
        <v>0.912747411869808</v>
      </c>
      <c r="V36" s="29" t="n">
        <f aca="false">R36*U36</f>
        <v>608.327672279676</v>
      </c>
      <c r="W36" s="26" t="n">
        <f aca="false">T36*U36</f>
        <v>0.0405869378819876</v>
      </c>
    </row>
    <row r="37" customFormat="false" ht="15" hidden="false" customHeight="true" outlineLevel="0" collapsed="false">
      <c r="A37" s="25" t="n">
        <f aca="false">A36+1</f>
        <v>35</v>
      </c>
      <c r="B37" s="26" t="n">
        <f aca="false">A37*CycleLength</f>
        <v>2.69230769230769</v>
      </c>
      <c r="C37" s="27" t="n">
        <f aca="false">MAX(0,1-I37-F37-G37-D37)</f>
        <v>0.293698088924458</v>
      </c>
      <c r="D37" s="27" t="n">
        <f aca="false">IF(A37=1, 0, F36*M37*(1-(1-(1-qx)^(1/13)))+D36*(1-pReResp)*(1-(1-(1-qx)^(1/13))))</f>
        <v>0.317981960478786</v>
      </c>
      <c r="E37" s="27" t="n">
        <f aca="false">C37+D37</f>
        <v>0.611680049403244</v>
      </c>
      <c r="F37" s="27" t="n">
        <f aca="false">IF(A37=1, C36*pRespComp*(1-(1-(1-qx)^(1/13))), MAX(0, F36*(1-M37)*(1-(1-(1-qx)^(1/13)))+D36*pReResp*(1-(1-(1-qx)^(1/13)))))</f>
        <v>0.199781071016726</v>
      </c>
      <c r="G37" s="27" t="n">
        <f aca="false">IF(A37=1, 0, MAX(0, G36*(1-pRelComp)*(1-(1-(1-qx)^(1/13)))+C36*pReResp*(1-(1-(1-qx)^(1/13)))))</f>
        <v>0.184237017071398</v>
      </c>
      <c r="H37" s="27" t="n">
        <f aca="false">F37+G37</f>
        <v>0.384018088088125</v>
      </c>
      <c r="I37" s="27" t="n">
        <f aca="false">I36+(1-I36)*(1-(1-qx)^(1/13))</f>
        <v>0.00430186250863096</v>
      </c>
      <c r="J37" s="27" t="n">
        <f aca="false">E37+H37+I37</f>
        <v>1</v>
      </c>
      <c r="K37" s="27" t="n">
        <f aca="false">F37</f>
        <v>0.199781071016726</v>
      </c>
      <c r="L37" s="27" t="n">
        <v>0</v>
      </c>
      <c r="M37" s="27" t="n">
        <f aca="false">pRelComp</f>
        <v>0.127454</v>
      </c>
      <c r="N37" s="25" t="n">
        <v>0</v>
      </c>
      <c r="O37" s="29" t="n">
        <v>0</v>
      </c>
      <c r="P37" s="29" t="n">
        <f aca="false">(1-I37)*cOral</f>
        <v>3.98279254996548</v>
      </c>
      <c r="Q37" s="29" t="n">
        <f aca="false">E37*cDep+H37*cResp</f>
        <v>662.425414861632</v>
      </c>
      <c r="R37" s="29" t="n">
        <f aca="false">O37+P37+Q37</f>
        <v>666.408207411597</v>
      </c>
      <c r="S37" s="26" t="n">
        <f aca="false">(E37*uDep+H37*uResp)*CycleLength</f>
        <v>0.0444638302064051</v>
      </c>
      <c r="T37" s="26" t="n">
        <f aca="false">(S37+S38)/2</f>
        <v>0.0444609250194487</v>
      </c>
      <c r="U37" s="26" t="n">
        <f aca="false">1/(1+DiscRate)^(B37+CycleLength/2)</f>
        <v>0.910335234659602</v>
      </c>
      <c r="V37" s="29" t="n">
        <f aca="false">R37*U37</f>
        <v>606.654871873121</v>
      </c>
      <c r="W37" s="26" t="n">
        <f aca="false">T37*U37</f>
        <v>0.0404743466107628</v>
      </c>
    </row>
    <row r="38" customFormat="false" ht="15" hidden="false" customHeight="true" outlineLevel="0" collapsed="false">
      <c r="A38" s="25" t="n">
        <f aca="false">A37+1</f>
        <v>36</v>
      </c>
      <c r="B38" s="26" t="n">
        <f aca="false">A38*CycleLength</f>
        <v>2.76923076923077</v>
      </c>
      <c r="C38" s="27" t="n">
        <f aca="false">MAX(0,1-I38-F38-G38-D38)</f>
        <v>0.29364781414326</v>
      </c>
      <c r="D38" s="27" t="n">
        <f aca="false">IF(A38=1, 0, F37*M38*(1-(1-(1-qx)^(1/13)))+D37*(1-pReResp)*(1-(1-(1-qx)^(1/13))))</f>
        <v>0.317967132096394</v>
      </c>
      <c r="E38" s="27" t="n">
        <f aca="false">C38+D38</f>
        <v>0.611614946239654</v>
      </c>
      <c r="F38" s="27" t="n">
        <f aca="false">IF(A38=1, C37*pRespComp*(1-(1-(1-qx)^(1/13))), MAX(0, F37*(1-M38)*(1-(1-(1-qx)^(1/13)))+D37*pReResp*(1-(1-(1-qx)^(1/13)))))</f>
        <v>0.199732127611772</v>
      </c>
      <c r="G38" s="27" t="n">
        <f aca="false">IF(A38=1, 0, MAX(0, G37*(1-pRelComp)*(1-(1-(1-qx)^(1/13)))+C37*pReResp*(1-(1-(1-qx)^(1/13)))))</f>
        <v>0.184228425587353</v>
      </c>
      <c r="H38" s="27" t="n">
        <f aca="false">F38+G38</f>
        <v>0.383960553199126</v>
      </c>
      <c r="I38" s="27" t="n">
        <f aca="false">I37+(1-I37)*(1-(1-qx)^(1/13))</f>
        <v>0.0044245005612206</v>
      </c>
      <c r="J38" s="27" t="n">
        <f aca="false">E38+H38+I38</f>
        <v>1</v>
      </c>
      <c r="K38" s="27" t="n">
        <f aca="false">F38</f>
        <v>0.199732127611772</v>
      </c>
      <c r="L38" s="27" t="n">
        <v>0</v>
      </c>
      <c r="M38" s="27" t="n">
        <f aca="false">pRelComp</f>
        <v>0.127454</v>
      </c>
      <c r="N38" s="25" t="n">
        <v>0</v>
      </c>
      <c r="O38" s="29" t="n">
        <v>0</v>
      </c>
      <c r="P38" s="29" t="n">
        <f aca="false">(1-I38)*cOral</f>
        <v>3.98230199775512</v>
      </c>
      <c r="Q38" s="29" t="n">
        <f aca="false">E38*cDep+H38*cResp</f>
        <v>662.352178039517</v>
      </c>
      <c r="R38" s="29" t="n">
        <f aca="false">O38+P38+Q38</f>
        <v>666.334480037272</v>
      </c>
      <c r="S38" s="26" t="n">
        <f aca="false">(E38*uDep+H38*uResp)*CycleLength</f>
        <v>0.0444580198324923</v>
      </c>
      <c r="T38" s="26" t="n">
        <f aca="false">(S38+S39)/2</f>
        <v>0.0444551496496566</v>
      </c>
      <c r="U38" s="26" t="n">
        <f aca="false">1/(1+DiscRate)^(B38+CycleLength/2)</f>
        <v>0.907929432267683</v>
      </c>
      <c r="V38" s="29" t="n">
        <f aca="false">R38*U38</f>
        <v>604.984686160623</v>
      </c>
      <c r="W38" s="26" t="n">
        <f aca="false">T38*U38</f>
        <v>0.0403621387827876</v>
      </c>
    </row>
    <row r="39" customFormat="false" ht="15" hidden="false" customHeight="true" outlineLevel="0" collapsed="false">
      <c r="A39" s="25" t="n">
        <f aca="false">A38+1</f>
        <v>37</v>
      </c>
      <c r="B39" s="26" t="n">
        <f aca="false">A39*CycleLength</f>
        <v>2.84615384615385</v>
      </c>
      <c r="C39" s="27" t="n">
        <f aca="false">MAX(0,1-I39-F39-G39-D39)</f>
        <v>0.293600472157282</v>
      </c>
      <c r="D39" s="27" t="n">
        <f aca="false">IF(A39=1, 0, F38*M39*(1-(1-(1-qx)^(1/13)))+D38*(1-pReResp)*(1-(1-(1-qx)^(1/13))))</f>
        <v>0.317947254400453</v>
      </c>
      <c r="E39" s="27" t="n">
        <f aca="false">C39+D39</f>
        <v>0.611547726557735</v>
      </c>
      <c r="F39" s="27" t="n">
        <f aca="false">IF(A39=1, C38*pRespComp*(1-(1-(1-qx)^(1/13))), MAX(0, F38*(1-M39)*(1-(1-(1-qx)^(1/13)))+D38*pReResp*(1-(1-(1-qx)^(1/13)))))</f>
        <v>0.199688241375004</v>
      </c>
      <c r="G39" s="27" t="n">
        <f aca="false">IF(A39=1, 0, MAX(0, G38*(1-pRelComp)*(1-(1-(1-qx)^(1/13)))+C38*pReResp*(1-(1-(1-qx)^(1/13)))))</f>
        <v>0.184216908558523</v>
      </c>
      <c r="H39" s="27" t="n">
        <f aca="false">F39+G39</f>
        <v>0.383905149933527</v>
      </c>
      <c r="I39" s="27" t="n">
        <f aca="false">I38+(1-I38)*(1-(1-qx)^(1/13))</f>
        <v>0.00454712350873837</v>
      </c>
      <c r="J39" s="27" t="n">
        <f aca="false">E39+H39+I39</f>
        <v>1</v>
      </c>
      <c r="K39" s="27" t="n">
        <f aca="false">F39</f>
        <v>0.199688241375004</v>
      </c>
      <c r="L39" s="27" t="n">
        <v>0</v>
      </c>
      <c r="M39" s="27" t="n">
        <f aca="false">pRelComp</f>
        <v>0.127454</v>
      </c>
      <c r="N39" s="25" t="n">
        <v>0</v>
      </c>
      <c r="O39" s="29" t="n">
        <v>0</v>
      </c>
      <c r="P39" s="29" t="n">
        <f aca="false">(1-I39)*cOral</f>
        <v>3.98181150596505</v>
      </c>
      <c r="Q39" s="29" t="n">
        <f aca="false">E39*cDep+H39*cResp</f>
        <v>662.277216615678</v>
      </c>
      <c r="R39" s="29" t="n">
        <f aca="false">O39+P39+Q39</f>
        <v>666.259028121644</v>
      </c>
      <c r="S39" s="26" t="n">
        <f aca="false">(E39*uDep+H39*uResp)*CycleLength</f>
        <v>0.0444522794668209</v>
      </c>
      <c r="T39" s="26" t="n">
        <f aca="false">(S39+S40)/2</f>
        <v>0.0444494370928999</v>
      </c>
      <c r="U39" s="26" t="n">
        <f aca="false">1/(1+DiscRate)^(B39+CycleLength/2)</f>
        <v>0.905529987846904</v>
      </c>
      <c r="V39" s="29" t="n">
        <f aca="false">R39*U39</f>
        <v>603.317529637882</v>
      </c>
      <c r="W39" s="26" t="n">
        <f aca="false">T39*U39</f>
        <v>0.0402502982305354</v>
      </c>
    </row>
    <row r="40" customFormat="false" ht="15" hidden="false" customHeight="true" outlineLevel="0" collapsed="false">
      <c r="A40" s="25" t="n">
        <f aca="false">A39+1</f>
        <v>38</v>
      </c>
      <c r="B40" s="26" t="n">
        <f aca="false">A40*CycleLength</f>
        <v>2.92307692307692</v>
      </c>
      <c r="C40" s="27" t="n">
        <f aca="false">MAX(0,1-I40-F40-G40-D40)</f>
        <v>0.293555455184118</v>
      </c>
      <c r="D40" s="27" t="n">
        <f aca="false">IF(A40=1, 0, F39*M40*(1-(1-(1-qx)^(1/13)))+D39*(1-pReResp)*(1-(1-(1-qx)^(1/13))))</f>
        <v>0.317923376385134</v>
      </c>
      <c r="E40" s="27" t="n">
        <f aca="false">C40+D40</f>
        <v>0.611478831569252</v>
      </c>
      <c r="F40" s="27" t="n">
        <f aca="false">IF(A40=1, C39*pRespComp*(1-(1-(1-qx)^(1/13))), MAX(0, F39*(1-M40)*(1-(1-(1-qx)^(1/13)))+D39*pReResp*(1-(1-(1-qx)^(1/13)))))</f>
        <v>0.199648363311283</v>
      </c>
      <c r="G40" s="27" t="n">
        <f aca="false">IF(A40=1, 0, MAX(0, G39*(1-pRelComp)*(1-(1-(1-qx)^(1/13)))+C39*pReResp*(1-(1-(1-qx)^(1/13)))))</f>
        <v>0.18420307376642</v>
      </c>
      <c r="H40" s="27" t="n">
        <f aca="false">F40+G40</f>
        <v>0.383851437077703</v>
      </c>
      <c r="I40" s="27" t="n">
        <f aca="false">I39+(1-I39)*(1-(1-qx)^(1/13))</f>
        <v>0.00466973135304471</v>
      </c>
      <c r="J40" s="27" t="n">
        <f aca="false">E40+H40+I40</f>
        <v>1</v>
      </c>
      <c r="K40" s="27" t="n">
        <f aca="false">F40</f>
        <v>0.199648363311283</v>
      </c>
      <c r="L40" s="27" t="n">
        <v>0</v>
      </c>
      <c r="M40" s="27" t="n">
        <f aca="false">pRelComp</f>
        <v>0.127454</v>
      </c>
      <c r="N40" s="25" t="n">
        <v>0</v>
      </c>
      <c r="O40" s="29" t="n">
        <v>0</v>
      </c>
      <c r="P40" s="29" t="n">
        <f aca="false">(1-I40)*cOral</f>
        <v>3.98132107458782</v>
      </c>
      <c r="Q40" s="29" t="n">
        <f aca="false">E40*cDep+H40*cResp</f>
        <v>662.200890618611</v>
      </c>
      <c r="R40" s="29" t="n">
        <f aca="false">O40+P40+Q40</f>
        <v>666.182211693198</v>
      </c>
      <c r="S40" s="26" t="n">
        <f aca="false">(E40*uDep+H40*uResp)*CycleLength</f>
        <v>0.0444465947189789</v>
      </c>
      <c r="T40" s="26" t="n">
        <f aca="false">(S40+S41)/2</f>
        <v>0.0444437744521348</v>
      </c>
      <c r="U40" s="26" t="n">
        <f aca="false">1/(1+DiscRate)^(B40+CycleLength/2)</f>
        <v>0.903136884594638</v>
      </c>
      <c r="V40" s="29" t="n">
        <f aca="false">R40*U40</f>
        <v>601.653727240961</v>
      </c>
      <c r="W40" s="26" t="n">
        <f aca="false">T40*U40</f>
        <v>0.0401388119983278</v>
      </c>
    </row>
    <row r="41" customFormat="false" ht="15" hidden="false" customHeight="true" outlineLevel="0" collapsed="false">
      <c r="A41" s="25" t="n">
        <f aca="false">A40+1</f>
        <v>39</v>
      </c>
      <c r="B41" s="26" t="n">
        <f aca="false">A41*CycleLength</f>
        <v>3</v>
      </c>
      <c r="C41" s="27" t="n">
        <f aca="false">MAX(0,1-I41-F41-G41-D41)</f>
        <v>0.293512281587472</v>
      </c>
      <c r="D41" s="27" t="n">
        <f aca="false">IF(A41=1, 0, F40*M41*(1-(1-(1-qx)^(1/13)))+D40*(1-pReResp)*(1-(1-(1-qx)^(1/13))))</f>
        <v>0.317896329324048</v>
      </c>
      <c r="E41" s="27" t="n">
        <f aca="false">C41+D41</f>
        <v>0.611408610911519</v>
      </c>
      <c r="F41" s="27" t="n">
        <f aca="false">IF(A41=1, C40*pRespComp*(1-(1-(1-qx)^(1/13))), MAX(0, F40*(1-M41)*(1-(1-(1-qx)^(1/13)))+D40*pReResp*(1-(1-(1-qx)^(1/13)))))</f>
        <v>0.199611662146033</v>
      </c>
      <c r="G41" s="27" t="n">
        <f aca="false">IF(A41=1, 0, MAX(0, G40*(1-pRelComp)*(1-(1-(1-qx)^(1/13)))+C40*pReResp*(1-(1-(1-qx)^(1/13)))))</f>
        <v>0.184187402846448</v>
      </c>
      <c r="H41" s="27" t="n">
        <f aca="false">F41+G41</f>
        <v>0.383799064992481</v>
      </c>
      <c r="I41" s="27" t="n">
        <f aca="false">I40+(1-I40)*(1-(1-qx)^(1/13))</f>
        <v>0.00479232409599985</v>
      </c>
      <c r="J41" s="27" t="n">
        <f aca="false">E41+H41+I41</f>
        <v>1</v>
      </c>
      <c r="K41" s="27" t="n">
        <f aca="false">F41</f>
        <v>0.199611662146033</v>
      </c>
      <c r="L41" s="27" t="n">
        <v>0</v>
      </c>
      <c r="M41" s="27" t="n">
        <f aca="false">pRelComp</f>
        <v>0.127454</v>
      </c>
      <c r="N41" s="25" t="n">
        <v>0</v>
      </c>
      <c r="O41" s="29" t="n">
        <v>0</v>
      </c>
      <c r="P41" s="29" t="n">
        <f aca="false">(1-I41)*cOral</f>
        <v>3.980830703616</v>
      </c>
      <c r="Q41" s="29" t="n">
        <f aca="false">E41*cDep+H41*cResp</f>
        <v>662.123485352056</v>
      </c>
      <c r="R41" s="29" t="n">
        <f aca="false">O41+P41+Q41</f>
        <v>666.104316055672</v>
      </c>
      <c r="S41" s="26" t="n">
        <f aca="false">(E41*uDep+H41*uResp)*CycleLength</f>
        <v>0.0444409541852908</v>
      </c>
      <c r="T41" s="26" t="n">
        <f aca="false">(S41+S42)/2</f>
        <v>0.0444381515071027</v>
      </c>
      <c r="U41" s="26" t="n">
        <f aca="false">1/(1+DiscRate)^(B41+CycleLength/2)</f>
        <v>0.900750105752665</v>
      </c>
      <c r="V41" s="29" t="n">
        <f aca="false">R41*U41</f>
        <v>599.993533129453</v>
      </c>
      <c r="W41" s="26" t="n">
        <f aca="false">T41*U41</f>
        <v>0.0400276696694757</v>
      </c>
    </row>
    <row r="42" customFormat="false" ht="15" hidden="false" customHeight="true" outlineLevel="0" collapsed="false">
      <c r="A42" s="25" t="n">
        <f aca="false">A41+1</f>
        <v>40</v>
      </c>
      <c r="B42" s="26" t="n">
        <f aca="false">A42*CycleLength</f>
        <v>3.07692307692308</v>
      </c>
      <c r="C42" s="27" t="n">
        <f aca="false">MAX(0,1-I42-F42-G42-D42)</f>
        <v>0.293470569695322</v>
      </c>
      <c r="D42" s="27" t="n">
        <f aca="false">IF(A42=1, 0, F41*M42*(1-(1-(1-qx)^(1/13)))+D41*(1-pReResp)*(1-(1-(1-qx)^(1/13))))</f>
        <v>0.317866771958499</v>
      </c>
      <c r="E42" s="27" t="n">
        <f aca="false">C42+D42</f>
        <v>0.611337341653821</v>
      </c>
      <c r="F42" s="27" t="n">
        <f aca="false">IF(A42=1, C41*pRespComp*(1-(1-(1-qx)^(1/13))), MAX(0, F41*(1-M42)*(1-(1-(1-qx)^(1/13)))+D41*pReResp*(1-(1-(1-qx)^(1/13)))))</f>
        <v>0.19957747913698</v>
      </c>
      <c r="G42" s="27" t="n">
        <f aca="false">IF(A42=1, 0, MAX(0, G41*(1-pRelComp)*(1-(1-(1-qx)^(1/13)))+C41*pReResp*(1-(1-(1-qx)^(1/13)))))</f>
        <v>0.184170277469735</v>
      </c>
      <c r="H42" s="27" t="n">
        <f aca="false">F42+G42</f>
        <v>0.383747756606715</v>
      </c>
      <c r="I42" s="27" t="n">
        <f aca="false">I41+(1-I41)*(1-(1-qx)^(1/13))</f>
        <v>0.0049149017394638</v>
      </c>
      <c r="J42" s="27" t="n">
        <f aca="false">E42+H42+I42</f>
        <v>1</v>
      </c>
      <c r="K42" s="27" t="n">
        <f aca="false">F42</f>
        <v>0.19957747913698</v>
      </c>
      <c r="L42" s="27" t="n">
        <v>0</v>
      </c>
      <c r="M42" s="27" t="n">
        <f aca="false">pRelComp</f>
        <v>0.127454</v>
      </c>
      <c r="N42" s="25" t="n">
        <v>0</v>
      </c>
      <c r="O42" s="29" t="n">
        <v>0</v>
      </c>
      <c r="P42" s="29" t="n">
        <f aca="false">(1-I42)*cOral</f>
        <v>3.98034039304214</v>
      </c>
      <c r="Q42" s="29" t="n">
        <f aca="false">E42*cDep+H42*cResp</f>
        <v>662.045226904246</v>
      </c>
      <c r="R42" s="29" t="n">
        <f aca="false">O42+P42+Q42</f>
        <v>666.025567297288</v>
      </c>
      <c r="S42" s="26" t="n">
        <f aca="false">(E42*uDep+H42*uResp)*CycleLength</f>
        <v>0.0444353488289147</v>
      </c>
      <c r="T42" s="26" t="n">
        <f aca="false">(S42+S43)/2</f>
        <v>0.0444325601587588</v>
      </c>
      <c r="U42" s="26" t="n">
        <f aca="false">1/(1+DiscRate)^(B42+CycleLength/2)</f>
        <v>0.898369634607054</v>
      </c>
      <c r="V42" s="29" t="n">
        <f aca="false">R42*U42</f>
        <v>598.33714553182</v>
      </c>
      <c r="W42" s="26" t="n">
        <f aca="false">T42*U42</f>
        <v>0.0399168628344801</v>
      </c>
    </row>
    <row r="43" customFormat="false" ht="15" hidden="false" customHeight="true" outlineLevel="0" collapsed="false">
      <c r="A43" s="25" t="n">
        <f aca="false">A42+1</f>
        <v>41</v>
      </c>
      <c r="B43" s="26" t="n">
        <f aca="false">A43*CycleLength</f>
        <v>3.15384615384615</v>
      </c>
      <c r="C43" s="27" t="n">
        <f aca="false">MAX(0,1-I43-F43-G43-D43)</f>
        <v>0.29343001705218</v>
      </c>
      <c r="D43" s="27" t="n">
        <f aca="false">IF(A43=1, 0, F42*M43*(1-(1-(1-qx)^(1/13)))+D42*(1-pReResp)*(1-(1-(1-qx)^(1/13))))</f>
        <v>0.317835226306849</v>
      </c>
      <c r="E43" s="27" t="n">
        <f aca="false">C43+D43</f>
        <v>0.611265243359029</v>
      </c>
      <c r="F43" s="27" t="n">
        <f aca="false">IF(A43=1, C42*pRespComp*(1-(1-(1-qx)^(1/13))), MAX(0, F42*(1-M43)*(1-(1-(1-qx)^(1/13)))+D42*pReResp*(1-(1-(1-qx)^(1/13)))))</f>
        <v>0.199545292264797</v>
      </c>
      <c r="G43" s="27" t="n">
        <f aca="false">IF(A43=1, 0, MAX(0, G42*(1-pRelComp)*(1-(1-(1-qx)^(1/13)))+C42*pReResp*(1-(1-(1-qx)^(1/13)))))</f>
        <v>0.184152000090877</v>
      </c>
      <c r="H43" s="27" t="n">
        <f aca="false">F43+G43</f>
        <v>0.383697292355675</v>
      </c>
      <c r="I43" s="27" t="n">
        <f aca="false">I42+(1-I42)*(1-(1-qx)^(1/13))</f>
        <v>0.00503746428529633</v>
      </c>
      <c r="J43" s="27" t="n">
        <f aca="false">E43+H43+I43</f>
        <v>1</v>
      </c>
      <c r="K43" s="27" t="n">
        <f aca="false">F43</f>
        <v>0.199545292264797</v>
      </c>
      <c r="L43" s="27" t="n">
        <v>0</v>
      </c>
      <c r="M43" s="27" t="n">
        <f aca="false">pRelComp</f>
        <v>0.127454</v>
      </c>
      <c r="N43" s="25" t="n">
        <v>0</v>
      </c>
      <c r="O43" s="29" t="n">
        <v>0</v>
      </c>
      <c r="P43" s="29" t="n">
        <f aca="false">(1-I43)*cOral</f>
        <v>3.97985014285882</v>
      </c>
      <c r="Q43" s="29" t="n">
        <f aca="false">E43*cDep+H43*cResp</f>
        <v>661.966294438179</v>
      </c>
      <c r="R43" s="29" t="n">
        <f aca="false">O43+P43+Q43</f>
        <v>665.946144581038</v>
      </c>
      <c r="S43" s="26" t="n">
        <f aca="false">(E43*uDep+H43*uResp)*CycleLength</f>
        <v>0.0444297714886029</v>
      </c>
      <c r="T43" s="26" t="n">
        <f aca="false">(S43+S44)/2</f>
        <v>0.0444269939890109</v>
      </c>
      <c r="U43" s="26" t="n">
        <f aca="false">1/(1+DiscRate)^(B43+CycleLength/2)</f>
        <v>0.895995454488042</v>
      </c>
      <c r="V43" s="29" t="n">
        <f aca="false">R43*U43</f>
        <v>596.684718478447</v>
      </c>
      <c r="W43" s="26" t="n">
        <f aca="false">T43*U43</f>
        <v>0.0398063846707213</v>
      </c>
    </row>
    <row r="44" customFormat="false" ht="15" hidden="false" customHeight="true" outlineLevel="0" collapsed="false">
      <c r="A44" s="25" t="n">
        <f aca="false">A43+1</f>
        <v>42</v>
      </c>
      <c r="B44" s="26" t="n">
        <f aca="false">A44*CycleLength</f>
        <v>3.23076923076923</v>
      </c>
      <c r="C44" s="27" t="n">
        <f aca="false">MAX(0,1-I44-F44-G44-D44)</f>
        <v>0.293390383977568</v>
      </c>
      <c r="D44" s="27" t="n">
        <f aca="false">IF(A44=1, 0, F43*M44*(1-(1-(1-qx)^(1/13)))+D43*(1-pReResp)*(1-(1-(1-qx)^(1/13))))</f>
        <v>0.31780210604158</v>
      </c>
      <c r="E44" s="27" t="n">
        <f aca="false">C44+D44</f>
        <v>0.611192490019149</v>
      </c>
      <c r="F44" s="27" t="n">
        <f aca="false">IF(A44=1, C43*pRespComp*(1-(1-(1-qx)^(1/13))), MAX(0, F43*(1-M44)*(1-(1-(1-qx)^(1/13)))+D43*pReResp*(1-(1-(1-qx)^(1/13)))))</f>
        <v>0.199514687856035</v>
      </c>
      <c r="G44" s="27" t="n">
        <f aca="false">IF(A44=1, 0, MAX(0, G43*(1-pRelComp)*(1-(1-(1-qx)^(1/13)))+C43*pReResp*(1-(1-(1-qx)^(1/13)))))</f>
        <v>0.18413281038946</v>
      </c>
      <c r="H44" s="27" t="n">
        <f aca="false">F44+G44</f>
        <v>0.383647498245494</v>
      </c>
      <c r="I44" s="27" t="n">
        <f aca="false">I43+(1-I43)*(1-(1-qx)^(1/13))</f>
        <v>0.00516001173535699</v>
      </c>
      <c r="J44" s="27" t="n">
        <f aca="false">E44+H44+I44</f>
        <v>1</v>
      </c>
      <c r="K44" s="27" t="n">
        <f aca="false">F44</f>
        <v>0.199514687856035</v>
      </c>
      <c r="L44" s="27" t="n">
        <v>0</v>
      </c>
      <c r="M44" s="27" t="n">
        <f aca="false">pRelComp</f>
        <v>0.127454</v>
      </c>
      <c r="N44" s="25" t="n">
        <v>0</v>
      </c>
      <c r="O44" s="29" t="n">
        <v>0</v>
      </c>
      <c r="P44" s="29" t="n">
        <f aca="false">(1-I44)*cOral</f>
        <v>3.97935995305857</v>
      </c>
      <c r="Q44" s="29" t="n">
        <f aca="false">E44*cDep+H44*cResp</f>
        <v>661.886829931027</v>
      </c>
      <c r="R44" s="29" t="n">
        <f aca="false">O44+P44+Q44</f>
        <v>665.866189884085</v>
      </c>
      <c r="S44" s="26" t="n">
        <f aca="false">(E44*uDep+H44*uResp)*CycleLength</f>
        <v>0.0444242164894189</v>
      </c>
      <c r="T44" s="26" t="n">
        <f aca="false">(S44+S45)/2</f>
        <v>0.0444214479118351</v>
      </c>
      <c r="U44" s="26" t="n">
        <f aca="false">1/(1+DiscRate)^(B44+CycleLength/2)</f>
        <v>0.893627548769923</v>
      </c>
      <c r="V44" s="29" t="n">
        <f aca="false">R44*U44</f>
        <v>595.036371074884</v>
      </c>
      <c r="W44" s="26" t="n">
        <f aca="false">T44*U44</f>
        <v>0.039696229610264</v>
      </c>
    </row>
    <row r="45" customFormat="false" ht="15" hidden="false" customHeight="true" outlineLevel="0" collapsed="false">
      <c r="A45" s="25" t="n">
        <f aca="false">A44+1</f>
        <v>43</v>
      </c>
      <c r="B45" s="26" t="n">
        <f aca="false">A45*CycleLength</f>
        <v>3.30769230769231</v>
      </c>
      <c r="C45" s="27" t="n">
        <f aca="false">MAX(0,1-I45-F45-G45-D45)</f>
        <v>0.293351480536967</v>
      </c>
      <c r="D45" s="27" t="n">
        <f aca="false">IF(A45=1, 0, F44*M45*(1-(1-(1-qx)^(1/13)))+D44*(1-pReResp)*(1-(1-(1-qx)^(1/13))))</f>
        <v>0.317767738976659</v>
      </c>
      <c r="E45" s="27" t="n">
        <f aca="false">C45+D45</f>
        <v>0.611119219513626</v>
      </c>
      <c r="F45" s="27" t="n">
        <f aca="false">IF(A45=1, C44*pRespComp*(1-(1-(1-qx)^(1/13))), MAX(0, F44*(1-M45)*(1-(1-(1-qx)^(1/13)))+D44*pReResp*(1-(1-(1-qx)^(1/13)))))</f>
        <v>0.199485338095759</v>
      </c>
      <c r="G45" s="27" t="n">
        <f aca="false">IF(A45=1, 0, MAX(0, G44*(1-pRelComp)*(1-(1-(1-qx)^(1/13)))+C44*pReResp*(1-(1-(1-qx)^(1/13)))))</f>
        <v>0.18411289829911</v>
      </c>
      <c r="H45" s="27" t="n">
        <f aca="false">F45+G45</f>
        <v>0.383598236394869</v>
      </c>
      <c r="I45" s="27" t="n">
        <f aca="false">I44+(1-I44)*(1-(1-qx)^(1/13))</f>
        <v>0.00528254409150508</v>
      </c>
      <c r="J45" s="27" t="n">
        <f aca="false">E45+H45+I45</f>
        <v>1</v>
      </c>
      <c r="K45" s="27" t="n">
        <f aca="false">F45</f>
        <v>0.199485338095759</v>
      </c>
      <c r="L45" s="27" t="n">
        <v>0</v>
      </c>
      <c r="M45" s="27" t="n">
        <f aca="false">pRelComp</f>
        <v>0.127454</v>
      </c>
      <c r="N45" s="25" t="n">
        <v>0</v>
      </c>
      <c r="O45" s="29" t="n">
        <v>0</v>
      </c>
      <c r="P45" s="29" t="n">
        <f aca="false">(1-I45)*cOral</f>
        <v>3.97886982363398</v>
      </c>
      <c r="Q45" s="29" t="n">
        <f aca="false">E45*cDep+H45*cResp</f>
        <v>661.806945892112</v>
      </c>
      <c r="R45" s="29" t="n">
        <f aca="false">O45+P45+Q45</f>
        <v>665.785815715746</v>
      </c>
      <c r="S45" s="26" t="n">
        <f aca="false">(E45*uDep+H45*uResp)*CycleLength</f>
        <v>0.0444186793342513</v>
      </c>
      <c r="T45" s="26" t="n">
        <f aca="false">(S45+S46)/2</f>
        <v>0.0444159178968027</v>
      </c>
      <c r="U45" s="26" t="n">
        <f aca="false">1/(1+DiscRate)^(B45+CycleLength/2)</f>
        <v>0.891265900870928</v>
      </c>
      <c r="V45" s="29" t="n">
        <f aca="false">R45*U45</f>
        <v>593.39219483098</v>
      </c>
      <c r="W45" s="26" t="n">
        <f aca="false">T45*U45</f>
        <v>0.039586393077303</v>
      </c>
    </row>
    <row r="46" customFormat="false" ht="15" hidden="false" customHeight="true" outlineLevel="0" collapsed="false">
      <c r="A46" s="25" t="n">
        <f aca="false">A45+1</f>
        <v>44</v>
      </c>
      <c r="B46" s="26" t="n">
        <f aca="false">A46*CycleLength</f>
        <v>3.38461538461538</v>
      </c>
      <c r="C46" s="27" t="n">
        <f aca="false">MAX(0,1-I46-F46-G46-D46)</f>
        <v>0.293313156216957</v>
      </c>
      <c r="D46" s="27" t="n">
        <f aca="false">IF(A46=1, 0, F45*M46*(1-(1-(1-qx)^(1/13)))+D45*(1-pReResp)*(1-(1-(1-qx)^(1/13))))</f>
        <v>0.317732384887611</v>
      </c>
      <c r="E46" s="27" t="n">
        <f aca="false">C46+D46</f>
        <v>0.611045541104569</v>
      </c>
      <c r="F46" s="27" t="n">
        <f aca="false">IF(A46=1, C45*pRespComp*(1-(1-(1-qx)^(1/13))), MAX(0, F45*(1-M46)*(1-(1-(1-qx)^(1/13)))+D45*pReResp*(1-(1-(1-qx)^(1/13)))))</f>
        <v>0.199456983207478</v>
      </c>
      <c r="G46" s="27" t="n">
        <f aca="false">IF(A46=1, 0, MAX(0, G45*(1-pRelComp)*(1-(1-(1-qx)^(1/13)))+C45*pReResp*(1-(1-(1-qx)^(1/13)))))</f>
        <v>0.184092414332354</v>
      </c>
      <c r="H46" s="27" t="n">
        <f aca="false">F46+G46</f>
        <v>0.383549397539832</v>
      </c>
      <c r="I46" s="27" t="n">
        <f aca="false">I45+(1-I45)*(1-(1-qx)^(1/13))</f>
        <v>0.0054050613555997</v>
      </c>
      <c r="J46" s="27" t="n">
        <f aca="false">E46+H46+I46</f>
        <v>1</v>
      </c>
      <c r="K46" s="27" t="n">
        <f aca="false">F46</f>
        <v>0.199456983207478</v>
      </c>
      <c r="L46" s="27" t="n">
        <v>0</v>
      </c>
      <c r="M46" s="27" t="n">
        <f aca="false">pRelComp</f>
        <v>0.127454</v>
      </c>
      <c r="N46" s="25" t="n">
        <v>0</v>
      </c>
      <c r="O46" s="29" t="n">
        <v>0</v>
      </c>
      <c r="P46" s="29" t="n">
        <f aca="false">(1-I46)*cOral</f>
        <v>3.9783797545776</v>
      </c>
      <c r="Q46" s="29" t="n">
        <f aca="false">E46*cDep+H46*cResp</f>
        <v>661.72673147901</v>
      </c>
      <c r="R46" s="29" t="n">
        <f aca="false">O46+P46+Q46</f>
        <v>665.705111233587</v>
      </c>
      <c r="S46" s="26" t="n">
        <f aca="false">(E46*uDep+H46*uResp)*CycleLength</f>
        <v>0.0444131564593541</v>
      </c>
      <c r="T46" s="26" t="n">
        <f aca="false">(S46+S47)/2</f>
        <v>0.0444104007499898</v>
      </c>
      <c r="U46" s="26" t="n">
        <f aca="false">1/(1+DiscRate)^(B46+CycleLength/2)</f>
        <v>0.88891049425311</v>
      </c>
      <c r="V46" s="29" t="n">
        <f aca="false">R46*U46</f>
        <v>591.752259453469</v>
      </c>
      <c r="W46" s="26" t="n">
        <f aca="false">T46*U46</f>
        <v>0.0394768712806521</v>
      </c>
    </row>
    <row r="47" customFormat="false" ht="15" hidden="false" customHeight="true" outlineLevel="0" collapsed="false">
      <c r="A47" s="25" t="n">
        <f aca="false">A46+1</f>
        <v>45</v>
      </c>
      <c r="B47" s="26" t="n">
        <f aca="false">A47*CycleLength</f>
        <v>3.46153846153846</v>
      </c>
      <c r="C47" s="27" t="n">
        <f aca="false">MAX(0,1-I47-F47-G47-D47)</f>
        <v>0.293275291743312</v>
      </c>
      <c r="D47" s="27" t="n">
        <f aca="false">IF(A47=1, 0, F46*M47*(1-(1-(1-qx)^(1/13)))+D46*(1-pReResp)*(1-(1-(1-qx)^(1/13))))</f>
        <v>0.317696249633008</v>
      </c>
      <c r="E47" s="27" t="n">
        <f aca="false">C47+D47</f>
        <v>0.61097154137632</v>
      </c>
      <c r="F47" s="27" t="n">
        <f aca="false">IF(A47=1, C46*pRespComp*(1-(1-(1-qx)^(1/13))), MAX(0, F46*(1-M47)*(1-(1-(1-qx)^(1/13)))+D46*pReResp*(1-(1-(1-qx)^(1/13)))))</f>
        <v>0.199429417331653</v>
      </c>
      <c r="G47" s="27" t="n">
        <f aca="false">IF(A47=1, 0, MAX(0, G46*(1-pRelComp)*(1-(1-(1-qx)^(1/13)))+C46*pReResp*(1-(1-(1-qx)^(1/13)))))</f>
        <v>0.184071477762527</v>
      </c>
      <c r="H47" s="27" t="n">
        <f aca="false">F47+G47</f>
        <v>0.38350089509418</v>
      </c>
      <c r="I47" s="27" t="n">
        <f aca="false">I46+(1-I46)*(1-(1-qx)^(1/13))</f>
        <v>0.00552756352949969</v>
      </c>
      <c r="J47" s="27" t="n">
        <f aca="false">E47+H47+I47</f>
        <v>1</v>
      </c>
      <c r="K47" s="27" t="n">
        <f aca="false">F47</f>
        <v>0.199429417331653</v>
      </c>
      <c r="L47" s="27" t="n">
        <v>0</v>
      </c>
      <c r="M47" s="27" t="n">
        <f aca="false">pRelComp</f>
        <v>0.127454</v>
      </c>
      <c r="N47" s="25" t="n">
        <v>0</v>
      </c>
      <c r="O47" s="29" t="n">
        <v>0</v>
      </c>
      <c r="P47" s="29" t="n">
        <f aca="false">(1-I47)*cOral</f>
        <v>3.977889745882</v>
      </c>
      <c r="Q47" s="29" t="n">
        <f aca="false">E47*cDep+H47*cResp</f>
        <v>661.646257344239</v>
      </c>
      <c r="R47" s="29" t="n">
        <f aca="false">O47+P47+Q47</f>
        <v>665.624147090121</v>
      </c>
      <c r="S47" s="26" t="n">
        <f aca="false">(E47*uDep+H47*uResp)*CycleLength</f>
        <v>0.0444076450406255</v>
      </c>
      <c r="T47" s="26" t="n">
        <f aca="false">(S47+S48)/2</f>
        <v>0.0444048939403593</v>
      </c>
      <c r="U47" s="26" t="n">
        <f aca="false">1/(1+DiscRate)^(B47+CycleLength/2)</f>
        <v>0.886561312422226</v>
      </c>
      <c r="V47" s="29" t="n">
        <f aca="false">R47*U47</f>
        <v>590.116617424142</v>
      </c>
      <c r="W47" s="26" t="n">
        <f aca="false">T47*U47</f>
        <v>0.0393676610497347</v>
      </c>
    </row>
    <row r="48" customFormat="false" ht="15" hidden="false" customHeight="true" outlineLevel="0" collapsed="false">
      <c r="A48" s="25" t="n">
        <f aca="false">A47+1</f>
        <v>46</v>
      </c>
      <c r="B48" s="26" t="n">
        <f aca="false">A48*CycleLength</f>
        <v>3.53846153846154</v>
      </c>
      <c r="C48" s="27" t="n">
        <f aca="false">MAX(0,1-I48-F48-G48-D48)</f>
        <v>0.293237792597248</v>
      </c>
      <c r="D48" s="27" t="n">
        <f aca="false">IF(A48=1, 0, F47*M48*(1-(1-(1-qx)^(1/13)))+D47*(1-pReResp)*(1-(1-(1-qx)^(1/13))))</f>
        <v>0.317659496345018</v>
      </c>
      <c r="E48" s="27" t="n">
        <f aca="false">C48+D48</f>
        <v>0.610897288942267</v>
      </c>
      <c r="F48" s="27" t="n">
        <f aca="false">IF(A48=1, C47*pRespComp*(1-(1-(1-qx)^(1/13))), MAX(0, F47*(1-M48)*(1-(1-(1-qx)^(1/13)))+D47*pReResp*(1-(1-(1-qx)^(1/13)))))</f>
        <v>0.199402477335149</v>
      </c>
      <c r="G48" s="27" t="n">
        <f aca="false">IF(A48=1, 0, MAX(0, G47*(1-pRelComp)*(1-(1-(1-qx)^(1/13)))+C47*pReResp*(1-(1-(1-qx)^(1/13)))))</f>
        <v>0.18405018310752</v>
      </c>
      <c r="H48" s="27" t="n">
        <f aca="false">F48+G48</f>
        <v>0.38345266044267</v>
      </c>
      <c r="I48" s="27" t="n">
        <f aca="false">I47+(1-I47)*(1-(1-qx)^(1/13))</f>
        <v>0.0056500506150637</v>
      </c>
      <c r="J48" s="27" t="n">
        <f aca="false">E48+H48+I48</f>
        <v>1</v>
      </c>
      <c r="K48" s="27" t="n">
        <f aca="false">F48</f>
        <v>0.199402477335149</v>
      </c>
      <c r="L48" s="27" t="n">
        <v>0</v>
      </c>
      <c r="M48" s="27" t="n">
        <f aca="false">pRelComp</f>
        <v>0.127454</v>
      </c>
      <c r="N48" s="25" t="n">
        <v>0</v>
      </c>
      <c r="O48" s="29" t="n">
        <v>0</v>
      </c>
      <c r="P48" s="29" t="n">
        <f aca="false">(1-I48)*cOral</f>
        <v>3.97739979753975</v>
      </c>
      <c r="Q48" s="29" t="n">
        <f aca="false">E48*cDep+H48*cResp</f>
        <v>661.565579476019</v>
      </c>
      <c r="R48" s="29" t="n">
        <f aca="false">O48+P48+Q48</f>
        <v>665.542979273559</v>
      </c>
      <c r="S48" s="26" t="n">
        <f aca="false">(E48*uDep+H48*uResp)*CycleLength</f>
        <v>0.0444021428400931</v>
      </c>
      <c r="T48" s="26" t="n">
        <f aca="false">(S48+S49)/2</f>
        <v>0.0443993954621777</v>
      </c>
      <c r="U48" s="26" t="n">
        <f aca="false">1/(1+DiscRate)^(B48+CycleLength/2)</f>
        <v>0.884218338927626</v>
      </c>
      <c r="V48" s="29" t="n">
        <f aca="false">R48*U48</f>
        <v>588.485307618209</v>
      </c>
      <c r="W48" s="26" t="n">
        <f aca="false">T48*U48</f>
        <v>0.0392587597049576</v>
      </c>
    </row>
    <row r="49" customFormat="false" ht="15" hidden="false" customHeight="true" outlineLevel="0" collapsed="false">
      <c r="A49" s="25" t="n">
        <f aca="false">A48+1</f>
        <v>47</v>
      </c>
      <c r="B49" s="26" t="n">
        <f aca="false">A49*CycleLength</f>
        <v>3.61538461538461</v>
      </c>
      <c r="C49" s="27" t="n">
        <f aca="false">MAX(0,1-I49-F49-G49-D49)</f>
        <v>0.293200583877395</v>
      </c>
      <c r="D49" s="27" t="n">
        <f aca="false">IF(A49=1, 0, F48*M49*(1-(1-(1-qx)^(1/13)))+D48*(1-pReResp)*(1-(1-(1-qx)^(1/13))))</f>
        <v>0.317622254297344</v>
      </c>
      <c r="E49" s="27" t="n">
        <f aca="false">C49+D49</f>
        <v>0.610822838174738</v>
      </c>
      <c r="F49" s="27" t="n">
        <f aca="false">IF(A49=1, C48*pRespComp*(1-(1-(1-qx)^(1/13))), MAX(0, F48*(1-M49)*(1-(1-(1-qx)^(1/13)))+D48*pReResp*(1-(1-(1-qx)^(1/13)))))</f>
        <v>0.199376033943299</v>
      </c>
      <c r="G49" s="27" t="n">
        <f aca="false">IF(A49=1, 0, MAX(0, G48*(1-pRelComp)*(1-(1-(1-qx)^(1/13)))+C48*pReResp*(1-(1-(1-qx)^(1/13)))))</f>
        <v>0.184028605267812</v>
      </c>
      <c r="H49" s="27" t="n">
        <f aca="false">F49+G49</f>
        <v>0.383404639211112</v>
      </c>
      <c r="I49" s="27" t="n">
        <f aca="false">I48+(1-I48)*(1-(1-qx)^(1/13))</f>
        <v>0.00577252261415011</v>
      </c>
      <c r="J49" s="27" t="n">
        <f aca="false">E49+H49+I49</f>
        <v>1</v>
      </c>
      <c r="K49" s="27" t="n">
        <f aca="false">F49</f>
        <v>0.199376033943299</v>
      </c>
      <c r="L49" s="27" t="n">
        <v>0</v>
      </c>
      <c r="M49" s="27" t="n">
        <f aca="false">pRelComp</f>
        <v>0.127454</v>
      </c>
      <c r="N49" s="25" t="n">
        <v>0</v>
      </c>
      <c r="O49" s="29" t="n">
        <v>0</v>
      </c>
      <c r="P49" s="29" t="n">
        <f aca="false">(1-I49)*cOral</f>
        <v>3.9769099095434</v>
      </c>
      <c r="Q49" s="29" t="n">
        <f aca="false">E49*cDep+H49*cResp</f>
        <v>661.484742241866</v>
      </c>
      <c r="R49" s="29" t="n">
        <f aca="false">O49+P49+Q49</f>
        <v>665.461652151409</v>
      </c>
      <c r="S49" s="26" t="n">
        <f aca="false">(E49*uDep+H49*uResp)*CycleLength</f>
        <v>0.0443966480842623</v>
      </c>
      <c r="T49" s="26" t="n">
        <f aca="false">(S49+S50)/2</f>
        <v>0.0443939037259877</v>
      </c>
      <c r="U49" s="26" t="n">
        <f aca="false">1/(1+DiscRate)^(B49+CycleLength/2)</f>
        <v>0.881881557362134</v>
      </c>
      <c r="V49" s="29" t="n">
        <f aca="false">R49*U49</f>
        <v>586.858358164064</v>
      </c>
      <c r="W49" s="26" t="n">
        <f aca="false">T49*U49</f>
        <v>0.0391501649552587</v>
      </c>
    </row>
    <row r="50" customFormat="false" ht="15" hidden="false" customHeight="true" outlineLevel="0" collapsed="false">
      <c r="A50" s="25" t="n">
        <f aca="false">A49+1</f>
        <v>48</v>
      </c>
      <c r="B50" s="26" t="n">
        <f aca="false">A50*CycleLength</f>
        <v>3.69230769230769</v>
      </c>
      <c r="C50" s="27" t="n">
        <f aca="false">MAX(0,1-I50-F50-G50-D50)</f>
        <v>0.293163606228168</v>
      </c>
      <c r="D50" s="27" t="n">
        <f aca="false">IF(A50=1, 0, F49*M50*(1-(1-(1-qx)^(1/13)))+D49*(1-pReResp)*(1-(1-(1-qx)^(1/13))))</f>
        <v>0.317584625932596</v>
      </c>
      <c r="E50" s="27" t="n">
        <f aca="false">C50+D50</f>
        <v>0.610748232160764</v>
      </c>
      <c r="F50" s="27" t="n">
        <f aca="false">IF(A50=1, C49*pRespComp*(1-(1-(1-qx)^(1/13))), MAX(0, F49*(1-M50)*(1-(1-(1-qx)^(1/13)))+D49*pReResp*(1-(1-(1-qx)^(1/13)))))</f>
        <v>0.199349984712524</v>
      </c>
      <c r="G50" s="27" t="n">
        <f aca="false">IF(A50=1, 0, MAX(0, G49*(1-pRelComp)*(1-(1-(1-qx)^(1/13)))+C49*pReResp*(1-(1-(1-qx)^(1/13)))))</f>
        <v>0.184006803598095</v>
      </c>
      <c r="H50" s="27" t="n">
        <f aca="false">F50+G50</f>
        <v>0.383356788310619</v>
      </c>
      <c r="I50" s="27" t="n">
        <f aca="false">I49+(1-I49)*(1-(1-qx)^(1/13))</f>
        <v>0.0058949795286171</v>
      </c>
      <c r="J50" s="27" t="n">
        <f aca="false">E50+H50+I50</f>
        <v>1</v>
      </c>
      <c r="K50" s="27" t="n">
        <f aca="false">F50</f>
        <v>0.199349984712524</v>
      </c>
      <c r="L50" s="27" t="n">
        <v>0</v>
      </c>
      <c r="M50" s="27" t="n">
        <f aca="false">pRelComp</f>
        <v>0.127454</v>
      </c>
      <c r="N50" s="25" t="n">
        <v>0</v>
      </c>
      <c r="O50" s="29" t="n">
        <v>0</v>
      </c>
      <c r="P50" s="29" t="n">
        <f aca="false">(1-I50)*cOral</f>
        <v>3.97642008188553</v>
      </c>
      <c r="Q50" s="29" t="n">
        <f aca="false">E50*cDep+H50*cResp</f>
        <v>661.40378080049</v>
      </c>
      <c r="R50" s="29" t="n">
        <f aca="false">O50+P50+Q50</f>
        <v>665.380200882375</v>
      </c>
      <c r="S50" s="26" t="n">
        <f aca="false">(E50*uDep+H50*uResp)*CycleLength</f>
        <v>0.044391159367713</v>
      </c>
      <c r="T50" s="26" t="n">
        <f aca="false">(S50+S51)/2</f>
        <v>0.044388417472209</v>
      </c>
      <c r="U50" s="26" t="n">
        <f aca="false">1/(1+DiscRate)^(B50+CycleLength/2)</f>
        <v>0.879550951361934</v>
      </c>
      <c r="V50" s="29" t="n">
        <f aca="false">R50*U50</f>
        <v>585.235788703488</v>
      </c>
      <c r="W50" s="26" t="n">
        <f aca="false">T50*U50</f>
        <v>0.0390418748171321</v>
      </c>
    </row>
    <row r="51" customFormat="false" ht="15" hidden="false" customHeight="true" outlineLevel="0" collapsed="false">
      <c r="A51" s="25" t="n">
        <f aca="false">A50+1</f>
        <v>49</v>
      </c>
      <c r="B51" s="26" t="n">
        <f aca="false">A51*CycleLength</f>
        <v>3.76923076923077</v>
      </c>
      <c r="C51" s="27" t="n">
        <f aca="false">MAX(0,1-I51-F51-G51-D51)</f>
        <v>0.293126812613218</v>
      </c>
      <c r="D51" s="27" t="n">
        <f aca="false">IF(A51=1, 0, F50*M51*(1-(1-(1-qx)^(1/13)))+D50*(1-pReResp)*(1-(1-(1-qx)^(1/13))))</f>
        <v>0.317546692431134</v>
      </c>
      <c r="E51" s="27" t="n">
        <f aca="false">C51+D51</f>
        <v>0.610673505044352</v>
      </c>
      <c r="F51" s="27" t="n">
        <f aca="false">IF(A51=1, C50*pRespComp*(1-(1-(1-qx)^(1/13))), MAX(0, F50*(1-M51)*(1-(1-(1-qx)^(1/13)))+D50*pReResp*(1-(1-(1-qx)^(1/13)))))</f>
        <v>0.199324248461499</v>
      </c>
      <c r="G51" s="27" t="n">
        <f aca="false">IF(A51=1, 0, MAX(0, G50*(1-pRelComp)*(1-(1-(1-qx)^(1/13)))+C50*pReResp*(1-(1-(1-qx)^(1/13)))))</f>
        <v>0.183984825133827</v>
      </c>
      <c r="H51" s="27" t="n">
        <f aca="false">F51+G51</f>
        <v>0.383309073595326</v>
      </c>
      <c r="I51" s="27" t="n">
        <f aca="false">I50+(1-I50)*(1-(1-qx)^(1/13))</f>
        <v>0.0060174213603226</v>
      </c>
      <c r="J51" s="27" t="n">
        <f aca="false">E51+H51+I51</f>
        <v>1</v>
      </c>
      <c r="K51" s="27" t="n">
        <f aca="false">F51</f>
        <v>0.199324248461499</v>
      </c>
      <c r="L51" s="27" t="n">
        <v>0</v>
      </c>
      <c r="M51" s="27" t="n">
        <f aca="false">pRelComp</f>
        <v>0.127454</v>
      </c>
      <c r="N51" s="25" t="n">
        <v>0</v>
      </c>
      <c r="O51" s="29" t="n">
        <v>0</v>
      </c>
      <c r="P51" s="29" t="n">
        <f aca="false">(1-I51)*cOral</f>
        <v>3.97593031455871</v>
      </c>
      <c r="Q51" s="29" t="n">
        <f aca="false">E51*cDep+H51*cResp</f>
        <v>661.322723013098</v>
      </c>
      <c r="R51" s="29" t="n">
        <f aca="false">O51+P51+Q51</f>
        <v>665.298653327657</v>
      </c>
      <c r="S51" s="26" t="n">
        <f aca="false">(E51*uDep+H51*uResp)*CycleLength</f>
        <v>0.0443856755767049</v>
      </c>
      <c r="T51" s="26" t="n">
        <f aca="false">(S51+S52)/2</f>
        <v>0.044382935702672</v>
      </c>
      <c r="U51" s="26" t="n">
        <f aca="false">1/(1+DiscRate)^(B51+CycleLength/2)</f>
        <v>0.877226504606457</v>
      </c>
      <c r="V51" s="29" t="n">
        <f aca="false">R51*U51</f>
        <v>583.617612178004</v>
      </c>
      <c r="W51" s="26" t="n">
        <f aca="false">T51*U51</f>
        <v>0.0389338875506281</v>
      </c>
    </row>
    <row r="52" customFormat="false" ht="15" hidden="false" customHeight="true" outlineLevel="0" collapsed="false">
      <c r="A52" s="25" t="n">
        <f aca="false">A51+1</f>
        <v>50</v>
      </c>
      <c r="B52" s="26" t="n">
        <f aca="false">A52*CycleLength</f>
        <v>3.84615384615385</v>
      </c>
      <c r="C52" s="27" t="n">
        <f aca="false">MAX(0,1-I52-F52-G52-D52)</f>
        <v>0.293090165758551</v>
      </c>
      <c r="D52" s="27" t="n">
        <f aca="false">IF(A52=1, 0, F51*M52*(1-(1-(1-qx)^(1/13)))+D51*(1-pReResp)*(1-(1-(1-qx)^(1/13))))</f>
        <v>0.31750851812408</v>
      </c>
      <c r="E52" s="27" t="n">
        <f aca="false">C52+D52</f>
        <v>0.61059868388263</v>
      </c>
      <c r="F52" s="27" t="n">
        <f aca="false">IF(A52=1, C51*pRespComp*(1-(1-(1-qx)^(1/13))), MAX(0, F51*(1-M52)*(1-(1-(1-qx)^(1/13)))+D51*pReResp*(1-(1-(1-qx)^(1/13)))))</f>
        <v>0.199298760858137</v>
      </c>
      <c r="G52" s="27" t="n">
        <f aca="false">IF(A52=1, 0, MAX(0, G51*(1-pRelComp)*(1-(1-(1-qx)^(1/13)))+C51*pReResp*(1-(1-(1-qx)^(1/13)))))</f>
        <v>0.183962707148109</v>
      </c>
      <c r="H52" s="27" t="n">
        <f aca="false">F52+G52</f>
        <v>0.383261468006245</v>
      </c>
      <c r="I52" s="27" t="n">
        <f aca="false">I51+(1-I51)*(1-(1-qx)^(1/13))</f>
        <v>0.00613984811112434</v>
      </c>
      <c r="J52" s="27" t="n">
        <f aca="false">E52+H52+I52</f>
        <v>1</v>
      </c>
      <c r="K52" s="27" t="n">
        <f aca="false">F52</f>
        <v>0.199298760858137</v>
      </c>
      <c r="L52" s="27" t="n">
        <v>0</v>
      </c>
      <c r="M52" s="27" t="n">
        <f aca="false">pRelComp</f>
        <v>0.127454</v>
      </c>
      <c r="N52" s="25" t="n">
        <v>0</v>
      </c>
      <c r="O52" s="29" t="n">
        <v>0</v>
      </c>
      <c r="P52" s="29" t="n">
        <f aca="false">(1-I52)*cOral</f>
        <v>3.9754406075555</v>
      </c>
      <c r="Q52" s="29" t="n">
        <f aca="false">E52*cDep+H52*cResp</f>
        <v>661.241590958002</v>
      </c>
      <c r="R52" s="29" t="n">
        <f aca="false">O52+P52+Q52</f>
        <v>665.217031565558</v>
      </c>
      <c r="S52" s="26" t="n">
        <f aca="false">(E52*uDep+H52*uResp)*CycleLength</f>
        <v>0.0443801958286392</v>
      </c>
      <c r="T52" s="26" t="n">
        <f aca="false">(S52+S53)/2</f>
        <v>0.0443774576263619</v>
      </c>
      <c r="U52" s="26" t="n">
        <f aca="false">1/(1+DiscRate)^(B52+CycleLength/2)</f>
        <v>0.874908200818265</v>
      </c>
      <c r="V52" s="29" t="n">
        <f aca="false">R52*U52</f>
        <v>582.003836240689</v>
      </c>
      <c r="W52" s="26" t="n">
        <f aca="false">T52*U52</f>
        <v>0.0388262016087691</v>
      </c>
    </row>
    <row r="53" customFormat="false" ht="15" hidden="false" customHeight="true" outlineLevel="0" collapsed="false">
      <c r="A53" s="25" t="n">
        <f aca="false">A52+1</f>
        <v>51</v>
      </c>
      <c r="B53" s="26" t="n">
        <f aca="false">A53*CycleLength</f>
        <v>3.92307692307692</v>
      </c>
      <c r="C53" s="27" t="n">
        <f aca="false">MAX(0,1-I53-F53-G53-D53)</f>
        <v>0.293053636126338</v>
      </c>
      <c r="D53" s="27" t="n">
        <f aca="false">IF(A53=1, 0, F52*M53*(1-(1-(1-qx)^(1/13)))+D52*(1-pReResp)*(1-(1-(1-qx)^(1/13))))</f>
        <v>0.317470153990403</v>
      </c>
      <c r="E53" s="27" t="n">
        <f aca="false">C53+D53</f>
        <v>0.610523790116741</v>
      </c>
      <c r="F53" s="27" t="n">
        <f aca="false">IF(A53=1, C52*pRespComp*(1-(1-(1-qx)^(1/13))), MAX(0, F52*(1-M53)*(1-(1-(1-qx)^(1/13)))+D52*pReResp*(1-(1-(1-qx)^(1/13)))))</f>
        <v>0.199273470922501</v>
      </c>
      <c r="G53" s="27" t="n">
        <f aca="false">IF(A53=1, 0, MAX(0, G52*(1-pRelComp)*(1-(1-(1-qx)^(1/13)))+C52*pReResp*(1-(1-(1-qx)^(1/13)))))</f>
        <v>0.183940479177879</v>
      </c>
      <c r="H53" s="27" t="n">
        <f aca="false">F53+G53</f>
        <v>0.38321395010038</v>
      </c>
      <c r="I53" s="27" t="n">
        <f aca="false">I52+(1-I52)*(1-(1-qx)^(1/13))</f>
        <v>0.00626225978287979</v>
      </c>
      <c r="J53" s="27" t="n">
        <f aca="false">E53+H53+I53</f>
        <v>1</v>
      </c>
      <c r="K53" s="27" t="n">
        <f aca="false">F53</f>
        <v>0.199273470922501</v>
      </c>
      <c r="L53" s="27" t="n">
        <v>0</v>
      </c>
      <c r="M53" s="27" t="n">
        <f aca="false">pRelComp</f>
        <v>0.127454</v>
      </c>
      <c r="N53" s="25" t="n">
        <v>0</v>
      </c>
      <c r="O53" s="29" t="n">
        <v>0</v>
      </c>
      <c r="P53" s="29" t="n">
        <f aca="false">(1-I53)*cOral</f>
        <v>3.97495096086848</v>
      </c>
      <c r="Q53" s="29" t="n">
        <f aca="false">E53*cDep+H53*cResp</f>
        <v>661.160402130868</v>
      </c>
      <c r="R53" s="29" t="n">
        <f aca="false">O53+P53+Q53</f>
        <v>665.135353091737</v>
      </c>
      <c r="S53" s="26" t="n">
        <f aca="false">(E53*uDep+H53*uResp)*CycleLength</f>
        <v>0.0443747194240846</v>
      </c>
      <c r="T53" s="26" t="n">
        <f aca="false">(S53+S54)/2</f>
        <v>0.0443719826164228</v>
      </c>
      <c r="U53" s="26" t="n">
        <f aca="false">1/(1+DiscRate)^(B53+CycleLength/2)</f>
        <v>0.872596023762935</v>
      </c>
      <c r="V53" s="29" t="n">
        <f aca="false">R53*U53</f>
        <v>580.394464372005</v>
      </c>
      <c r="W53" s="26" t="n">
        <f aca="false">T53*U53</f>
        <v>0.0387188155975686</v>
      </c>
    </row>
    <row r="54" customFormat="false" ht="15" hidden="false" customHeight="true" outlineLevel="0" collapsed="false">
      <c r="A54" s="25" t="n">
        <f aca="false">A53+1</f>
        <v>52</v>
      </c>
      <c r="B54" s="26" t="n">
        <f aca="false">A54*CycleLength</f>
        <v>4</v>
      </c>
      <c r="C54" s="27" t="n">
        <f aca="false">MAX(0,1-I54-F54-G54-D54)</f>
        <v>0.293017200309261</v>
      </c>
      <c r="D54" s="27" t="n">
        <f aca="false">IF(A54=1, 0, F53*M54*(1-(1-(1-qx)^(1/13)))+D53*(1-pReResp)*(1-(1-(1-qx)^(1/13))))</f>
        <v>0.317431640428182</v>
      </c>
      <c r="E54" s="27" t="n">
        <f aca="false">C54+D54</f>
        <v>0.610448840737443</v>
      </c>
      <c r="F54" s="27" t="n">
        <f aca="false">IF(A54=1, C53*pRespComp*(1-(1-(1-qx)^(1/13))), MAX(0, F53*(1-M54)*(1-(1-(1-qx)^(1/13)))+D53*pReResp*(1-(1-(1-qx)^(1/13)))))</f>
        <v>0.199248338255547</v>
      </c>
      <c r="G54" s="27" t="n">
        <f aca="false">IF(A54=1, 0, MAX(0, G53*(1-pRelComp)*(1-(1-(1-qx)^(1/13)))+C53*pReResp*(1-(1-(1-qx)^(1/13)))))</f>
        <v>0.183918164629564</v>
      </c>
      <c r="H54" s="27" t="n">
        <f aca="false">F54+G54</f>
        <v>0.383166502885111</v>
      </c>
      <c r="I54" s="27" t="n">
        <f aca="false">I53+(1-I53)*(1-(1-qx)^(1/13))</f>
        <v>0.0063846563774462</v>
      </c>
      <c r="J54" s="27" t="n">
        <f aca="false">E54+H54+I54</f>
        <v>1</v>
      </c>
      <c r="K54" s="27" t="n">
        <f aca="false">F54</f>
        <v>0.199248338255547</v>
      </c>
      <c r="L54" s="27" t="n">
        <v>0</v>
      </c>
      <c r="M54" s="27" t="n">
        <f aca="false">pRelComp</f>
        <v>0.127454</v>
      </c>
      <c r="N54" s="25" t="n">
        <v>0</v>
      </c>
      <c r="O54" s="29" t="n">
        <v>0</v>
      </c>
      <c r="P54" s="29" t="n">
        <f aca="false">(1-I54)*cOral</f>
        <v>3.97446137449022</v>
      </c>
      <c r="Q54" s="29" t="n">
        <f aca="false">E54*cDep+H54*cResp</f>
        <v>661.079170395852</v>
      </c>
      <c r="R54" s="29" t="n">
        <f aca="false">O54+P54+Q54</f>
        <v>665.053631770343</v>
      </c>
      <c r="S54" s="26" t="n">
        <f aca="false">(E54*uDep+H54*uResp)*CycleLength</f>
        <v>0.0443692458087609</v>
      </c>
      <c r="T54" s="26" t="n">
        <f aca="false">(S54+S55)/2</f>
        <v>0.0443665101760866</v>
      </c>
      <c r="U54" s="26" t="n">
        <f aca="false">1/(1+DiscRate)^(B54+CycleLength/2)</f>
        <v>0.870289957248952</v>
      </c>
      <c r="V54" s="29" t="n">
        <f aca="false">R54*U54</f>
        <v>578.789496761672</v>
      </c>
      <c r="W54" s="26" t="n">
        <f aca="false">T54*U54</f>
        <v>0.0386117282444316</v>
      </c>
    </row>
    <row r="55" customFormat="false" ht="15" hidden="false" customHeight="true" outlineLevel="0" collapsed="false">
      <c r="A55" s="25" t="n">
        <f aca="false">A54+1</f>
        <v>53</v>
      </c>
      <c r="B55" s="26" t="n">
        <f aca="false">A55*CycleLength</f>
        <v>4.07692307692308</v>
      </c>
      <c r="C55" s="27" t="n">
        <f aca="false">MAX(0,1-I55-F55-G55-D55)</f>
        <v>0.292980839758113</v>
      </c>
      <c r="D55" s="27" t="n">
        <f aca="false">IF(A55=1, 0, F54*M55*(1-(1-(1-qx)^(1/13)))+D54*(1-pReResp)*(1-(1-(1-qx)^(1/13))))</f>
        <v>0.317393009450688</v>
      </c>
      <c r="E55" s="27" t="n">
        <f aca="false">C55+D55</f>
        <v>0.610373849208802</v>
      </c>
      <c r="F55" s="27" t="n">
        <f aca="false">IF(A55=1, C54*pRespComp*(1-(1-(1-qx)^(1/13))), MAX(0, F54*(1-M55)*(1-(1-(1-qx)^(1/13)))+D54*pReResp*(1-(1-(1-qx)^(1/13)))))</f>
        <v>0.199223330843039</v>
      </c>
      <c r="G55" s="27" t="n">
        <f aca="false">IF(A55=1, 0, MAX(0, G54*(1-pRelComp)*(1-(1-(1-qx)^(1/13)))+C54*pReResp*(1-(1-(1-qx)^(1/13)))))</f>
        <v>0.183895782051479</v>
      </c>
      <c r="H55" s="27" t="n">
        <f aca="false">F55+G55</f>
        <v>0.383119112894518</v>
      </c>
      <c r="I55" s="27" t="n">
        <f aca="false">I54+(1-I54)*(1-(1-qx)^(1/13))</f>
        <v>0.00650703789668061</v>
      </c>
      <c r="J55" s="27" t="n">
        <f aca="false">E55+H55+I55</f>
        <v>1</v>
      </c>
      <c r="K55" s="27" t="n">
        <f aca="false">F55</f>
        <v>0.199223330843039</v>
      </c>
      <c r="L55" s="27" t="n">
        <v>0</v>
      </c>
      <c r="M55" s="27" t="n">
        <f aca="false">pRelComp</f>
        <v>0.127454</v>
      </c>
      <c r="N55" s="25" t="n">
        <v>0</v>
      </c>
      <c r="O55" s="29" t="n">
        <v>0</v>
      </c>
      <c r="P55" s="29" t="n">
        <f aca="false">(1-I55)*cOral</f>
        <v>3.97397184841328</v>
      </c>
      <c r="Q55" s="29" t="n">
        <f aca="false">E55*cDep+H55*cResp</f>
        <v>660.997906739327</v>
      </c>
      <c r="R55" s="29" t="n">
        <f aca="false">O55+P55+Q55</f>
        <v>664.97187858774</v>
      </c>
      <c r="S55" s="26" t="n">
        <f aca="false">(E55*uDep+H55*uResp)*CycleLength</f>
        <v>0.0443637745434123</v>
      </c>
      <c r="T55" s="26" t="n">
        <f aca="false">(S55+S56)/2</f>
        <v>0.0443610399116731</v>
      </c>
      <c r="U55" s="26" t="n">
        <f aca="false">1/(1+DiscRate)^(B55+CycleLength/2)</f>
        <v>0.867989985127588</v>
      </c>
      <c r="V55" s="29" t="n">
        <f aca="false">R55*U55</f>
        <v>577.188931005637</v>
      </c>
      <c r="W55" s="26" t="n">
        <f aca="false">T55*U55</f>
        <v>0.0385049383731775</v>
      </c>
    </row>
    <row r="56" customFormat="false" ht="15" hidden="false" customHeight="true" outlineLevel="0" collapsed="false">
      <c r="A56" s="25" t="n">
        <f aca="false">A55+1</f>
        <v>54</v>
      </c>
      <c r="B56" s="26" t="n">
        <f aca="false">A56*CycleLength</f>
        <v>4.15384615384615</v>
      </c>
      <c r="C56" s="27" t="n">
        <f aca="false">MAX(0,1-I56-F56-G56-D56)</f>
        <v>0.292944539773494</v>
      </c>
      <c r="D56" s="27" t="n">
        <f aca="false">IF(A56=1, 0, F55*M56*(1-(1-(1-qx)^(1/13)))+D55*(1-pReResp)*(1-(1-(1-qx)^(1/13))))</f>
        <v>0.317354286426661</v>
      </c>
      <c r="E56" s="27" t="n">
        <f aca="false">C56+D56</f>
        <v>0.610298826200155</v>
      </c>
      <c r="F56" s="27" t="n">
        <f aca="false">IF(A56=1, C55*pRespComp*(1-(1-(1-qx)^(1/13))), MAX(0, F55*(1-M56)*(1-(1-(1-qx)^(1/13)))+D55*pReResp*(1-(1-(1-qx)^(1/13)))))</f>
        <v>0.199198423315271</v>
      </c>
      <c r="G56" s="27" t="n">
        <f aca="false">IF(A56=1, 0, MAX(0, G55*(1-pRelComp)*(1-(1-(1-qx)^(1/13)))+C55*pReResp*(1-(1-(1-qx)^(1/13)))))</f>
        <v>0.183873346142134</v>
      </c>
      <c r="H56" s="27" t="n">
        <f aca="false">F56+G56</f>
        <v>0.383071769457405</v>
      </c>
      <c r="I56" s="27" t="n">
        <f aca="false">I55+(1-I55)*(1-(1-qx)^(1/13))</f>
        <v>0.00662940434243981</v>
      </c>
      <c r="J56" s="27" t="n">
        <f aca="false">E56+H56+I56</f>
        <v>1</v>
      </c>
      <c r="K56" s="27" t="n">
        <f aca="false">F56</f>
        <v>0.199198423315271</v>
      </c>
      <c r="L56" s="27" t="n">
        <v>0</v>
      </c>
      <c r="M56" s="27" t="n">
        <f aca="false">pRelComp</f>
        <v>0.127454</v>
      </c>
      <c r="N56" s="25" t="n">
        <v>0</v>
      </c>
      <c r="O56" s="29" t="n">
        <v>0</v>
      </c>
      <c r="P56" s="29" t="n">
        <f aca="false">(1-I56)*cOral</f>
        <v>3.97348238263024</v>
      </c>
      <c r="Q56" s="29" t="n">
        <f aca="false">E56*cDep+H56*cResp</f>
        <v>660.916619867167</v>
      </c>
      <c r="R56" s="29" t="n">
        <f aca="false">O56+P56+Q56</f>
        <v>664.890102249797</v>
      </c>
      <c r="S56" s="26" t="n">
        <f aca="false">(E56*uDep+H56*uResp)*CycleLength</f>
        <v>0.044358305279934</v>
      </c>
      <c r="T56" s="26" t="n">
        <f aca="false">(S56+S57)/2</f>
        <v>0.0443555715111939</v>
      </c>
      <c r="U56" s="26" t="n">
        <f aca="false">1/(1+DiscRate)^(B56+CycleLength/2)</f>
        <v>0.865696091292795</v>
      </c>
      <c r="V56" s="29" t="n">
        <f aca="false">R56*U56</f>
        <v>575.592762656916</v>
      </c>
      <c r="W56" s="26" t="n">
        <f aca="false">T56*U56</f>
        <v>0.0383984448842986</v>
      </c>
    </row>
    <row r="57" customFormat="false" ht="15" hidden="false" customHeight="true" outlineLevel="0" collapsed="false">
      <c r="A57" s="25" t="n">
        <f aca="false">A56+1</f>
        <v>55</v>
      </c>
      <c r="B57" s="26" t="n">
        <f aca="false">A57*CycleLength</f>
        <v>4.23076923076923</v>
      </c>
      <c r="C57" s="27" t="n">
        <f aca="false">MAX(0,1-I57-F57-G57-D57)</f>
        <v>0.292908288706773</v>
      </c>
      <c r="D57" s="27" t="n">
        <f aca="false">IF(A57=1, 0, F56*M57*(1-(1-(1-qx)^(1/13)))+D56*(1-pReResp)*(1-(1-(1-qx)^(1/13))))</f>
        <v>0.317315491459395</v>
      </c>
      <c r="E57" s="27" t="n">
        <f aca="false">C57+D57</f>
        <v>0.610223780166168</v>
      </c>
      <c r="F57" s="27" t="n">
        <f aca="false">IF(A57=1, C56*pRespComp*(1-(1-(1-qx)^(1/13))), MAX(0, F56*(1-M57)*(1-(1-(1-qx)^(1/13)))+D56*pReResp*(1-(1-(1-qx)^(1/13)))))</f>
        <v>0.199173595567984</v>
      </c>
      <c r="G57" s="27" t="n">
        <f aca="false">IF(A57=1, 0, MAX(0, G56*(1-pRelComp)*(1-(1-(1-qx)^(1/13)))+C56*pReResp*(1-(1-(1-qx)^(1/13)))))</f>
        <v>0.183850868549267</v>
      </c>
      <c r="H57" s="27" t="n">
        <f aca="false">F57+G57</f>
        <v>0.383024464117251</v>
      </c>
      <c r="I57" s="27" t="n">
        <f aca="false">I56+(1-I56)*(1-(1-qx)^(1/13))</f>
        <v>0.00675175571658037</v>
      </c>
      <c r="J57" s="27" t="n">
        <f aca="false">E57+H57+I57</f>
        <v>1</v>
      </c>
      <c r="K57" s="27" t="n">
        <f aca="false">F57</f>
        <v>0.199173595567984</v>
      </c>
      <c r="L57" s="27" t="n">
        <v>0</v>
      </c>
      <c r="M57" s="27" t="n">
        <f aca="false">pRelComp</f>
        <v>0.127454</v>
      </c>
      <c r="N57" s="25" t="n">
        <v>0</v>
      </c>
      <c r="O57" s="29" t="n">
        <v>0</v>
      </c>
      <c r="P57" s="29" t="n">
        <f aca="false">(1-I57)*cOral</f>
        <v>3.97299297713368</v>
      </c>
      <c r="Q57" s="29" t="n">
        <f aca="false">E57*cDep+H57*cResp</f>
        <v>660.835316678074</v>
      </c>
      <c r="R57" s="29" t="n">
        <f aca="false">O57+P57+Q57</f>
        <v>664.808309655208</v>
      </c>
      <c r="S57" s="26" t="n">
        <f aca="false">(E57*uDep+H57*uResp)*CycleLength</f>
        <v>0.0443528377424539</v>
      </c>
      <c r="T57" s="26" t="n">
        <f aca="false">(S57+S58)/2</f>
        <v>0.044350104727397</v>
      </c>
      <c r="U57" s="26" t="n">
        <f aca="false">1/(1+DiscRate)^(B57+CycleLength/2)</f>
        <v>0.863408259681085</v>
      </c>
      <c r="V57" s="29" t="n">
        <f aca="false">R57*U57</f>
        <v>574.000985660927</v>
      </c>
      <c r="W57" s="26" t="n">
        <f aca="false">T57*U57</f>
        <v>0.0382922467393557</v>
      </c>
    </row>
    <row r="58" customFormat="false" ht="15" hidden="false" customHeight="true" outlineLevel="0" collapsed="false">
      <c r="A58" s="25" t="n">
        <f aca="false">A57+1</f>
        <v>56</v>
      </c>
      <c r="B58" s="26" t="n">
        <f aca="false">A58*CycleLength</f>
        <v>4.30769230769231</v>
      </c>
      <c r="C58" s="27" t="n">
        <f aca="false">MAX(0,1-I58-F58-G58-D58)</f>
        <v>0.292872077326897</v>
      </c>
      <c r="D58" s="27" t="n">
        <f aca="false">IF(A58=1, 0, F57*M58*(1-(1-(1-qx)^(1/13)))+D57*(1-pReResp)*(1-(1-(1-qx)^(1/13))))</f>
        <v>0.317276640479592</v>
      </c>
      <c r="E58" s="27" t="n">
        <f aca="false">C58+D58</f>
        <v>0.610148717806489</v>
      </c>
      <c r="F58" s="27" t="n">
        <f aca="false">IF(A58=1, C57*pRespComp*(1-(1-(1-qx)^(1/13))), MAX(0, F57*(1-M58)*(1-(1-(1-qx)^(1/13)))+D57*pReResp*(1-(1-(1-qx)^(1/13)))))</f>
        <v>0.199148831669511</v>
      </c>
      <c r="G58" s="27" t="n">
        <f aca="false">IF(A58=1, 0, MAX(0, G57*(1-pRelComp)*(1-(1-(1-qx)^(1/13)))+C57*pReResp*(1-(1-(1-qx)^(1/13)))))</f>
        <v>0.183828358503042</v>
      </c>
      <c r="H58" s="27" t="n">
        <f aca="false">F58+G58</f>
        <v>0.382977190172553</v>
      </c>
      <c r="I58" s="27" t="n">
        <f aca="false">I57+(1-I57)*(1-(1-qx)^(1/13))</f>
        <v>0.00687409202095862</v>
      </c>
      <c r="J58" s="27" t="n">
        <f aca="false">E58+H58+I58</f>
        <v>1</v>
      </c>
      <c r="K58" s="27" t="n">
        <f aca="false">F58</f>
        <v>0.199148831669511</v>
      </c>
      <c r="L58" s="27" t="n">
        <v>0</v>
      </c>
      <c r="M58" s="27" t="n">
        <f aca="false">pRelComp</f>
        <v>0.127454</v>
      </c>
      <c r="N58" s="25" t="n">
        <v>0</v>
      </c>
      <c r="O58" s="29" t="n">
        <v>0</v>
      </c>
      <c r="P58" s="29" t="n">
        <f aca="false">(1-I58)*cOral</f>
        <v>3.97250363191617</v>
      </c>
      <c r="Q58" s="29" t="n">
        <f aca="false">E58*cDep+H58*cResp</f>
        <v>660.754002638657</v>
      </c>
      <c r="R58" s="29" t="n">
        <f aca="false">O58+P58+Q58</f>
        <v>664.726506270574</v>
      </c>
      <c r="S58" s="26" t="n">
        <f aca="false">(E58*uDep+H58*uResp)*CycleLength</f>
        <v>0.0443473717123402</v>
      </c>
      <c r="T58" s="26" t="n">
        <f aca="false">(S58+S59)/2</f>
        <v>0.0443446393643308</v>
      </c>
      <c r="U58" s="26" t="n">
        <f aca="false">1/(1+DiscRate)^(B58+CycleLength/2)</f>
        <v>0.861126474271428</v>
      </c>
      <c r="V58" s="29" t="n">
        <f aca="false">R58*U58</f>
        <v>572.413592699544</v>
      </c>
      <c r="W58" s="26" t="n">
        <f aca="false">T58*U58</f>
        <v>0.0381863429486442</v>
      </c>
    </row>
    <row r="59" customFormat="false" ht="15" hidden="false" customHeight="true" outlineLevel="0" collapsed="false">
      <c r="A59" s="25" t="n">
        <f aca="false">A58+1</f>
        <v>57</v>
      </c>
      <c r="B59" s="26" t="n">
        <f aca="false">A59*CycleLength</f>
        <v>4.38461538461538</v>
      </c>
      <c r="C59" s="27" t="n">
        <f aca="false">MAX(0,1-I59-F59-G59-D59)</f>
        <v>0.292835898318621</v>
      </c>
      <c r="D59" s="27" t="n">
        <f aca="false">IF(A59=1, 0, F58*M59*(1-(1-(1-qx)^(1/13)))+D58*(1-pReResp)*(1-(1-(1-qx)^(1/13))))</f>
        <v>0.317237746111384</v>
      </c>
      <c r="E59" s="27" t="n">
        <f aca="false">C59+D59</f>
        <v>0.610073644430005</v>
      </c>
      <c r="F59" s="27" t="n">
        <f aca="false">IF(A59=1, C58*pRespComp*(1-(1-(1-qx)^(1/13))), MAX(0, F58*(1-M59)*(1-(1-(1-qx)^(1/13)))+D58*pReResp*(1-(1-(1-qx)^(1/13)))))</f>
        <v>0.199124118994753</v>
      </c>
      <c r="G59" s="27" t="n">
        <f aca="false">IF(A59=1, 0, MAX(0, G58*(1-pRelComp)*(1-(1-(1-qx)^(1/13)))+C58*pReResp*(1-(1-(1-qx)^(1/13)))))</f>
        <v>0.183805823317811</v>
      </c>
      <c r="H59" s="27" t="n">
        <f aca="false">F59+G59</f>
        <v>0.382929942312564</v>
      </c>
      <c r="I59" s="27" t="n">
        <f aca="false">I58+(1-I58)*(1-(1-qx)^(1/13))</f>
        <v>0.00699641325743069</v>
      </c>
      <c r="J59" s="27" t="n">
        <f aca="false">E59+H59+I59</f>
        <v>1</v>
      </c>
      <c r="K59" s="27" t="n">
        <f aca="false">F59</f>
        <v>0.199124118994753</v>
      </c>
      <c r="L59" s="27" t="n">
        <v>0</v>
      </c>
      <c r="M59" s="27" t="n">
        <f aca="false">pRelComp</f>
        <v>0.127454</v>
      </c>
      <c r="N59" s="25" t="n">
        <v>0</v>
      </c>
      <c r="O59" s="29" t="n">
        <v>0</v>
      </c>
      <c r="P59" s="29" t="n">
        <f aca="false">(1-I59)*cOral</f>
        <v>3.97201434697028</v>
      </c>
      <c r="Q59" s="29" t="n">
        <f aca="false">E59*cDep+H59*cResp</f>
        <v>660.672682080666</v>
      </c>
      <c r="R59" s="29" t="n">
        <f aca="false">O59+P59+Q59</f>
        <v>664.644696427636</v>
      </c>
      <c r="S59" s="26" t="n">
        <f aca="false">(E59*uDep+H59*uResp)*CycleLength</f>
        <v>0.0443419070163214</v>
      </c>
      <c r="T59" s="26" t="n">
        <f aca="false">(S59+S60)/2</f>
        <v>0.0443391752666965</v>
      </c>
      <c r="U59" s="26" t="n">
        <f aca="false">1/(1+DiscRate)^(B59+CycleLength/2)</f>
        <v>0.85885071908513</v>
      </c>
      <c r="V59" s="29" t="n">
        <f aca="false">R59*U59</f>
        <v>570.830575462993</v>
      </c>
      <c r="W59" s="26" t="n">
        <f aca="false">T59*U59</f>
        <v>0.0380807325614439</v>
      </c>
    </row>
    <row r="60" customFormat="false" ht="15" hidden="false" customHeight="true" outlineLevel="0" collapsed="false">
      <c r="A60" s="25" t="n">
        <f aca="false">A59+1</f>
        <v>58</v>
      </c>
      <c r="B60" s="26" t="n">
        <f aca="false">A60*CycleLength</f>
        <v>4.46153846153846</v>
      </c>
      <c r="C60" s="27" t="n">
        <f aca="false">MAX(0,1-I60-F60-G60-D60)</f>
        <v>0.292799745884877</v>
      </c>
      <c r="D60" s="27" t="n">
        <f aca="false">IF(A60=1, 0, F59*M60*(1-(1-(1-qx)^(1/13)))+D59*(1-pReResp)*(1-(1-(1-qx)^(1/13))))</f>
        <v>0.317198818358625</v>
      </c>
      <c r="E60" s="27" t="n">
        <f aca="false">C60+D60</f>
        <v>0.609998564243502</v>
      </c>
      <c r="F60" s="27" t="n">
        <f aca="false">IF(A60=1, C59*pRespComp*(1-(1-(1-qx)^(1/13))), MAX(0, F59*(1-M60)*(1-(1-(1-qx)^(1/13)))+D59*pReResp*(1-(1-(1-qx)^(1/13)))))</f>
        <v>0.199099447538893</v>
      </c>
      <c r="G60" s="27" t="n">
        <f aca="false">IF(A60=1, 0, MAX(0, G59*(1-pRelComp)*(1-(1-(1-qx)^(1/13)))+C59*pReResp*(1-(1-(1-qx)^(1/13)))))</f>
        <v>0.183783268789752</v>
      </c>
      <c r="H60" s="27" t="n">
        <f aca="false">F60+G60</f>
        <v>0.382882716328646</v>
      </c>
      <c r="I60" s="27" t="n">
        <f aca="false">I59+(1-I59)*(1-(1-qx)^(1/13))</f>
        <v>0.00711871942785244</v>
      </c>
      <c r="J60" s="27" t="n">
        <f aca="false">E60+H60+I60</f>
        <v>1</v>
      </c>
      <c r="K60" s="27" t="n">
        <f aca="false">F60</f>
        <v>0.199099447538893</v>
      </c>
      <c r="L60" s="27" t="n">
        <v>0</v>
      </c>
      <c r="M60" s="27" t="n">
        <f aca="false">pRelComp</f>
        <v>0.127454</v>
      </c>
      <c r="N60" s="25" t="n">
        <v>0</v>
      </c>
      <c r="O60" s="29" t="n">
        <v>0</v>
      </c>
      <c r="P60" s="29" t="n">
        <f aca="false">(1-I60)*cOral</f>
        <v>3.97152512228859</v>
      </c>
      <c r="Q60" s="29" t="n">
        <f aca="false">E60*cDep+H60*cResp</f>
        <v>660.59135843653</v>
      </c>
      <c r="R60" s="29" t="n">
        <f aca="false">O60+P60+Q60</f>
        <v>664.562883558818</v>
      </c>
      <c r="S60" s="26" t="n">
        <f aca="false">(E60*uDep+H60*uResp)*CycleLength</f>
        <v>0.0443364435170716</v>
      </c>
      <c r="T60" s="26" t="n">
        <f aca="false">(S60+S61)/2</f>
        <v>0.0443337123114108</v>
      </c>
      <c r="U60" s="26" t="n">
        <f aca="false">1/(1+DiscRate)^(B60+CycleLength/2)</f>
        <v>0.856580978185725</v>
      </c>
      <c r="V60" s="29" t="n">
        <f aca="false">R60*U60</f>
        <v>569.251924864739</v>
      </c>
      <c r="W60" s="26" t="n">
        <f aca="false">T60*U60</f>
        <v>0.0379754146583128</v>
      </c>
    </row>
    <row r="61" customFormat="false" ht="15" hidden="false" customHeight="true" outlineLevel="0" collapsed="false">
      <c r="A61" s="25" t="n">
        <f aca="false">A60+1</f>
        <v>59</v>
      </c>
      <c r="B61" s="26" t="n">
        <f aca="false">A61*CycleLength</f>
        <v>4.53846153846154</v>
      </c>
      <c r="C61" s="27" t="n">
        <f aca="false">MAX(0,1-I61-F61-G61-D61)</f>
        <v>0.292763615431674</v>
      </c>
      <c r="D61" s="27" t="n">
        <f aca="false">IF(A61=1, 0, F60*M61*(1-(1-(1-qx)^(1/13)))+D60*(1-pReResp)*(1-(1-(1-qx)^(1/13))))</f>
        <v>0.317159865148727</v>
      </c>
      <c r="E61" s="27" t="n">
        <f aca="false">C61+D61</f>
        <v>0.609923480580401</v>
      </c>
      <c r="F61" s="27" t="n">
        <f aca="false">IF(A61=1, C60*pRespComp*(1-(1-(1-qx)^(1/13))), MAX(0, F60*(1-M61)*(1-(1-(1-qx)^(1/13)))+D60*pReResp*(1-(1-(1-qx)^(1/13)))))</f>
        <v>0.199074809373553</v>
      </c>
      <c r="G61" s="27" t="n">
        <f aca="false">IF(A61=1, 0, MAX(0, G60*(1-pRelComp)*(1-(1-(1-qx)^(1/13)))+C60*pReResp*(1-(1-(1-qx)^(1/13)))))</f>
        <v>0.183760699511967</v>
      </c>
      <c r="H61" s="27" t="n">
        <f aca="false">F61+G61</f>
        <v>0.38283550888552</v>
      </c>
      <c r="I61" s="27" t="n">
        <f aca="false">I60+(1-I60)*(1-(1-qx)^(1/13))</f>
        <v>0.00724101053407955</v>
      </c>
      <c r="J61" s="27" t="n">
        <f aca="false">E61+H61+I61</f>
        <v>1</v>
      </c>
      <c r="K61" s="27" t="n">
        <f aca="false">F61</f>
        <v>0.199074809373553</v>
      </c>
      <c r="L61" s="27" t="n">
        <v>0</v>
      </c>
      <c r="M61" s="27" t="n">
        <f aca="false">pRelComp</f>
        <v>0.127454</v>
      </c>
      <c r="N61" s="25" t="n">
        <v>0</v>
      </c>
      <c r="O61" s="29" t="n">
        <v>0</v>
      </c>
      <c r="P61" s="29" t="n">
        <f aca="false">(1-I61)*cOral</f>
        <v>3.97103595786368</v>
      </c>
      <c r="Q61" s="29" t="n">
        <f aca="false">E61*cDep+H61*cResp</f>
        <v>660.510034426018</v>
      </c>
      <c r="R61" s="29" t="n">
        <f aca="false">O61+P61+Q61</f>
        <v>664.481070383882</v>
      </c>
      <c r="S61" s="26" t="n">
        <f aca="false">(E61*uDep+H61*uResp)*CycleLength</f>
        <v>0.0443309811057499</v>
      </c>
      <c r="T61" s="26" t="n">
        <f aca="false">(S61+S62)/2</f>
        <v>0.0443282504009191</v>
      </c>
      <c r="U61" s="26" t="n">
        <f aca="false">1/(1+DiscRate)^(B61+CycleLength/2)</f>
        <v>0.854317235678866</v>
      </c>
      <c r="V61" s="29" t="n">
        <f aca="false">R61*U61</f>
        <v>567.677631211292</v>
      </c>
      <c r="W61" s="26" t="n">
        <f aca="false">T61*U61</f>
        <v>0.0378703883449938</v>
      </c>
    </row>
    <row r="62" customFormat="false" ht="15" hidden="false" customHeight="true" outlineLevel="0" collapsed="false">
      <c r="A62" s="25" t="n">
        <f aca="false">A61+1</f>
        <v>60</v>
      </c>
      <c r="B62" s="26" t="n">
        <f aca="false">A62*CycleLength</f>
        <v>4.61538461538461</v>
      </c>
      <c r="C62" s="27" t="n">
        <f aca="false">MAX(0,1-I62-F62-G62-D62)</f>
        <v>0.292727503318397</v>
      </c>
      <c r="D62" s="27" t="n">
        <f aca="false">IF(A62=1, 0, F61*M62*(1-(1-(1-qx)^(1/13)))+D61*(1-pReResp)*(1-(1-(1-qx)^(1/13))))</f>
        <v>0.317120892763634</v>
      </c>
      <c r="E62" s="27" t="n">
        <f aca="false">C62+D62</f>
        <v>0.609848396082032</v>
      </c>
      <c r="F62" s="27" t="n">
        <f aca="false">IF(A62=1, C61*pRespComp*(1-(1-(1-qx)^(1/13))), MAX(0, F61*(1-M62)*(1-(1-(1-qx)^(1/13)))+D61*pReResp*(1-(1-(1-qx)^(1/13)))))</f>
        <v>0.199050198215824</v>
      </c>
      <c r="G62" s="27" t="n">
        <f aca="false">IF(A62=1, 0, MAX(0, G61*(1-pRelComp)*(1-(1-(1-qx)^(1/13)))+C61*pReResp*(1-(1-(1-qx)^(1/13)))))</f>
        <v>0.183738119124177</v>
      </c>
      <c r="H62" s="27" t="n">
        <f aca="false">F62+G62</f>
        <v>0.382788317340001</v>
      </c>
      <c r="I62" s="27" t="n">
        <f aca="false">I61+(1-I61)*(1-(1-qx)^(1/13))</f>
        <v>0.00736328657796742</v>
      </c>
      <c r="J62" s="27" t="n">
        <f aca="false">E62+H62+I62</f>
        <v>1</v>
      </c>
      <c r="K62" s="27" t="n">
        <f aca="false">F62</f>
        <v>0.199050198215824</v>
      </c>
      <c r="L62" s="27" t="n">
        <v>0</v>
      </c>
      <c r="M62" s="27" t="n">
        <f aca="false">pRelComp</f>
        <v>0.127454</v>
      </c>
      <c r="N62" s="25" t="n">
        <v>0</v>
      </c>
      <c r="O62" s="29" t="n">
        <v>0</v>
      </c>
      <c r="P62" s="29" t="n">
        <f aca="false">(1-I62)*cOral</f>
        <v>3.97054685368813</v>
      </c>
      <c r="Q62" s="29" t="n">
        <f aca="false">E62*cDep+H62*cResp</f>
        <v>660.428712204151</v>
      </c>
      <c r="R62" s="29" t="n">
        <f aca="false">O62+P62+Q62</f>
        <v>664.399259057839</v>
      </c>
      <c r="S62" s="26" t="n">
        <f aca="false">(E62*uDep+H62*uResp)*CycleLength</f>
        <v>0.0443255196960883</v>
      </c>
      <c r="T62" s="26" t="n">
        <f aca="false">(S62+S63)/2</f>
        <v>0.0443227894578975</v>
      </c>
      <c r="U62" s="26" t="n">
        <f aca="false">1/(1+DiscRate)^(B62+CycleLength/2)</f>
        <v>0.852059475712207</v>
      </c>
      <c r="V62" s="29" t="n">
        <f aca="false">R62*U62</f>
        <v>566.107684336401</v>
      </c>
      <c r="W62" s="26" t="n">
        <f aca="false">T62*U62</f>
        <v>0.0377656527475986</v>
      </c>
    </row>
    <row r="63" customFormat="false" ht="15" hidden="false" customHeight="true" outlineLevel="0" collapsed="false">
      <c r="A63" s="25" t="n">
        <f aca="false">A62+1</f>
        <v>61</v>
      </c>
      <c r="B63" s="26" t="n">
        <f aca="false">A63*CycleLength</f>
        <v>4.69230769230769</v>
      </c>
      <c r="C63" s="27" t="n">
        <f aca="false">MAX(0,1-I63-F63-G63-D63)</f>
        <v>0.292691406659935</v>
      </c>
      <c r="D63" s="27" t="n">
        <f aca="false">IF(A63=1, 0, F62*M63*(1-(1-(1-qx)^(1/13)))+D62*(1-pReResp)*(1-(1-(1-qx)^(1/13))))</f>
        <v>0.317081906181339</v>
      </c>
      <c r="E63" s="27" t="n">
        <f aca="false">C63+D63</f>
        <v>0.609773312841274</v>
      </c>
      <c r="F63" s="27" t="n">
        <f aca="false">IF(A63=1, C62*pRespComp*(1-(1-(1-qx)^(1/13))), MAX(0, F62*(1-M63)*(1-(1-(1-qx)^(1/13)))+D62*pReResp*(1-(1-(1-qx)^(1/13)))))</f>
        <v>0.199025609086749</v>
      </c>
      <c r="G63" s="27" t="n">
        <f aca="false">IF(A63=1, 0, MAX(0, G62*(1-pRelComp)*(1-(1-(1-qx)^(1/13)))+C62*pReResp*(1-(1-(1-qx)^(1/13)))))</f>
        <v>0.183715530510606</v>
      </c>
      <c r="H63" s="27" t="n">
        <f aca="false">F63+G63</f>
        <v>0.382741139597355</v>
      </c>
      <c r="I63" s="27" t="n">
        <f aca="false">I62+(1-I62)*(1-(1-qx)^(1/13))</f>
        <v>0.00748554756137126</v>
      </c>
      <c r="J63" s="27" t="n">
        <f aca="false">E63+H63+I63</f>
        <v>1</v>
      </c>
      <c r="K63" s="27" t="n">
        <f aca="false">F63</f>
        <v>0.199025609086749</v>
      </c>
      <c r="L63" s="27" t="n">
        <v>0</v>
      </c>
      <c r="M63" s="27" t="n">
        <f aca="false">pRelComp</f>
        <v>0.127454</v>
      </c>
      <c r="N63" s="25" t="n">
        <v>0</v>
      </c>
      <c r="O63" s="29" t="n">
        <v>0</v>
      </c>
      <c r="P63" s="29" t="n">
        <f aca="false">(1-I63)*cOral</f>
        <v>3.97005780975452</v>
      </c>
      <c r="Q63" s="29" t="n">
        <f aca="false">E63*cDep+H63*cResp</f>
        <v>660.347393478415</v>
      </c>
      <c r="R63" s="29" t="n">
        <f aca="false">O63+P63+Q63</f>
        <v>664.317451288169</v>
      </c>
      <c r="S63" s="26" t="n">
        <f aca="false">(E63*uDep+H63*uResp)*CycleLength</f>
        <v>0.0443200592197067</v>
      </c>
      <c r="T63" s="26" t="n">
        <f aca="false">(S63+S64)/2</f>
        <v>0.0443173294210534</v>
      </c>
      <c r="U63" s="26" t="n">
        <f aca="false">1/(1+DiscRate)^(B63+CycleLength/2)</f>
        <v>0.849807682475299</v>
      </c>
      <c r="V63" s="29" t="n">
        <f aca="false">R63*U63</f>
        <v>564.542073707096</v>
      </c>
      <c r="W63" s="26" t="n">
        <f aca="false">T63*U63</f>
        <v>0.0376612070087998</v>
      </c>
    </row>
    <row r="64" customFormat="false" ht="15" hidden="false" customHeight="true" outlineLevel="0" collapsed="false">
      <c r="A64" s="25" t="n">
        <f aca="false">A63+1</f>
        <v>62</v>
      </c>
      <c r="B64" s="26" t="n">
        <f aca="false">A64*CycleLength</f>
        <v>4.76923076923077</v>
      </c>
      <c r="C64" s="27" t="n">
        <f aca="false">MAX(0,1-I64-F64-G64-D64)</f>
        <v>0.29265532316987</v>
      </c>
      <c r="D64" s="27" t="n">
        <f aca="false">IF(A64=1, 0, F63*M64*(1-(1-(1-qx)^(1/13)))+D63*(1-pReResp)*(1-(1-(1-qx)^(1/13))))</f>
        <v>0.31704290934652</v>
      </c>
      <c r="E64" s="27" t="n">
        <f aca="false">C64+D64</f>
        <v>0.609698232516391</v>
      </c>
      <c r="F64" s="27" t="n">
        <f aca="false">IF(A64=1, C63*pRespComp*(1-(1-(1-qx)^(1/13))), MAX(0, F63*(1-M64)*(1-(1-(1-qx)^(1/13)))+D63*pReResp*(1-(1-(1-qx)^(1/13)))))</f>
        <v>0.199001038040685</v>
      </c>
      <c r="G64" s="27" t="n">
        <f aca="false">IF(A64=1, 0, MAX(0, G63*(1-pRelComp)*(1-(1-(1-qx)^(1/13)))+C63*pReResp*(1-(1-(1-qx)^(1/13)))))</f>
        <v>0.183692935956778</v>
      </c>
      <c r="H64" s="27" t="n">
        <f aca="false">F64+G64</f>
        <v>0.382693973997463</v>
      </c>
      <c r="I64" s="27" t="n">
        <f aca="false">I63+(1-I63)*(1-(1-qx)^(1/13))</f>
        <v>0.00760779348614604</v>
      </c>
      <c r="J64" s="27" t="n">
        <f aca="false">E64+H64+I64</f>
        <v>1</v>
      </c>
      <c r="K64" s="27" t="n">
        <f aca="false">F64</f>
        <v>0.199001038040685</v>
      </c>
      <c r="L64" s="27" t="n">
        <v>0</v>
      </c>
      <c r="M64" s="27" t="n">
        <f aca="false">pRelComp</f>
        <v>0.127454</v>
      </c>
      <c r="N64" s="25" t="n">
        <v>0</v>
      </c>
      <c r="O64" s="29" t="n">
        <v>0</v>
      </c>
      <c r="P64" s="29" t="n">
        <f aca="false">(1-I64)*cOral</f>
        <v>3.96956882605542</v>
      </c>
      <c r="Q64" s="29" t="n">
        <f aca="false">E64*cDep+H64*cResp</f>
        <v>660.266079601647</v>
      </c>
      <c r="R64" s="29" t="n">
        <f aca="false">O64+P64+Q64</f>
        <v>664.235648427702</v>
      </c>
      <c r="S64" s="26" t="n">
        <f aca="false">(E64*uDep+H64*uResp)*CycleLength</f>
        <v>0.0443145996224001</v>
      </c>
      <c r="T64" s="26" t="n">
        <f aca="false">(S64+S65)/2</f>
        <v>0.0443118702417985</v>
      </c>
      <c r="U64" s="26" t="n">
        <f aca="false">1/(1+DiscRate)^(B64+CycleLength/2)</f>
        <v>0.847561840199476</v>
      </c>
      <c r="V64" s="29" t="n">
        <f aca="false">R64*U64</f>
        <v>562.980788507475</v>
      </c>
      <c r="W64" s="26" t="n">
        <f aca="false">T64*U64</f>
        <v>0.0375570502848191</v>
      </c>
    </row>
    <row r="65" customFormat="false" ht="15" hidden="false" customHeight="true" outlineLevel="0" collapsed="false">
      <c r="A65" s="25" t="n">
        <f aca="false">A64+1</f>
        <v>63</v>
      </c>
      <c r="B65" s="26" t="n">
        <f aca="false">A65*CycleLength</f>
        <v>4.84615384615385</v>
      </c>
      <c r="C65" s="27" t="n">
        <f aca="false">MAX(0,1-I65-F65-G65-D65)</f>
        <v>0.292619251036224</v>
      </c>
      <c r="D65" s="27" t="n">
        <f aca="false">IF(A65=1, 0, F64*M65*(1-(1-(1-qx)^(1/13)))+D64*(1-pReResp)*(1-(1-(1-qx)^(1/13))))</f>
        <v>0.31700390538501</v>
      </c>
      <c r="E65" s="27" t="n">
        <f aca="false">C65+D65</f>
        <v>0.609623156421234</v>
      </c>
      <c r="F65" s="27" t="n">
        <f aca="false">IF(A65=1, C64*pRespComp*(1-(1-(1-qx)^(1/13))), MAX(0, F64*(1-M65)*(1-(1-(1-qx)^(1/13)))+D64*pReResp*(1-(1-(1-qx)^(1/13)))))</f>
        <v>0.198976481950835</v>
      </c>
      <c r="G65" s="27" t="n">
        <f aca="false">IF(A65=1, 0, MAX(0, G64*(1-pRelComp)*(1-(1-(1-qx)^(1/13)))+C64*pReResp*(1-(1-(1-qx)^(1/13)))))</f>
        <v>0.183670337273785</v>
      </c>
      <c r="H65" s="27" t="n">
        <f aca="false">F65+G65</f>
        <v>0.38264681922462</v>
      </c>
      <c r="I65" s="27" t="n">
        <f aca="false">I64+(1-I64)*(1-(1-qx)^(1/13))</f>
        <v>0.00773002435414649</v>
      </c>
      <c r="J65" s="27" t="n">
        <f aca="false">E65+H65+I65</f>
        <v>1</v>
      </c>
      <c r="K65" s="27" t="n">
        <f aca="false">F65</f>
        <v>0.198976481950835</v>
      </c>
      <c r="L65" s="27" t="n">
        <v>0</v>
      </c>
      <c r="M65" s="27" t="n">
        <f aca="false">pRelComp</f>
        <v>0.127454</v>
      </c>
      <c r="N65" s="25" t="n">
        <v>0</v>
      </c>
      <c r="O65" s="29" t="n">
        <v>0</v>
      </c>
      <c r="P65" s="29" t="n">
        <f aca="false">(1-I65)*cOral</f>
        <v>3.96907990258341</v>
      </c>
      <c r="Q65" s="29" t="n">
        <f aca="false">E65*cDep+H65*cResp</f>
        <v>660.184771645647</v>
      </c>
      <c r="R65" s="29" t="n">
        <f aca="false">O65+P65+Q65</f>
        <v>664.15385154823</v>
      </c>
      <c r="S65" s="26" t="n">
        <f aca="false">(E65*uDep+H65*uResp)*CycleLength</f>
        <v>0.0443091408611969</v>
      </c>
      <c r="T65" s="26" t="n">
        <f aca="false">(S65+S66)/2</f>
        <v>0.0443064118816119</v>
      </c>
      <c r="U65" s="26" t="n">
        <f aca="false">1/(1+DiscRate)^(B65+CycleLength/2)</f>
        <v>0.845321933157744</v>
      </c>
      <c r="V65" s="29" t="n">
        <f aca="false">R65*U65</f>
        <v>561.423817704911</v>
      </c>
      <c r="W65" s="26" t="n">
        <f aca="false">T65*U65</f>
        <v>0.0374531817430474</v>
      </c>
    </row>
    <row r="66" customFormat="false" ht="15" hidden="false" customHeight="true" outlineLevel="0" collapsed="false">
      <c r="A66" s="25" t="n">
        <f aca="false">A65+1</f>
        <v>64</v>
      </c>
      <c r="B66" s="26" t="n">
        <f aca="false">A66*CycleLength</f>
        <v>4.92307692307692</v>
      </c>
      <c r="C66" s="27" t="n">
        <f aca="false">MAX(0,1-I66-F66-G66-D66)</f>
        <v>0.292583188822981</v>
      </c>
      <c r="D66" s="27" t="n">
        <f aca="false">IF(A66=1, 0, F65*M66*(1-(1-(1-qx)^(1/13)))+D65*(1-pReResp)*(1-(1-(1-qx)^(1/13))))</f>
        <v>0.316964896773746</v>
      </c>
      <c r="E66" s="27" t="n">
        <f aca="false">C66+D66</f>
        <v>0.609548085596727</v>
      </c>
      <c r="F66" s="27" t="n">
        <f aca="false">IF(A66=1, C65*pRespComp*(1-(1-(1-qx)^(1/13))), MAX(0, F65*(1-M66)*(1-(1-(1-qx)^(1/13)))+D65*pReResp*(1-(1-(1-qx)^(1/13)))))</f>
        <v>0.198951938339298</v>
      </c>
      <c r="G66" s="27" t="n">
        <f aca="false">IF(A66=1, 0, MAX(0, G65*(1-pRelComp)*(1-(1-(1-qx)^(1/13)))+C65*pReResp*(1-(1-(1-qx)^(1/13)))))</f>
        <v>0.183647735896748</v>
      </c>
      <c r="H66" s="27" t="n">
        <f aca="false">F66+G66</f>
        <v>0.382599674236046</v>
      </c>
      <c r="I66" s="27" t="n">
        <f aca="false">I65+(1-I65)*(1-(1-qx)^(1/13))</f>
        <v>0.00785224016722713</v>
      </c>
      <c r="J66" s="27" t="n">
        <f aca="false">E66+H66+I66</f>
        <v>1</v>
      </c>
      <c r="K66" s="27" t="n">
        <f aca="false">F66</f>
        <v>0.198951938339298</v>
      </c>
      <c r="L66" s="27" t="n">
        <v>0</v>
      </c>
      <c r="M66" s="27" t="n">
        <f aca="false">pRelComp</f>
        <v>0.127454</v>
      </c>
      <c r="N66" s="25" t="n">
        <v>0</v>
      </c>
      <c r="O66" s="29" t="n">
        <v>0</v>
      </c>
      <c r="P66" s="29" t="n">
        <f aca="false">(1-I66)*cOral</f>
        <v>3.96859103933109</v>
      </c>
      <c r="Q66" s="29" t="n">
        <f aca="false">E66*cDep+H66*cResp</f>
        <v>660.103470459504</v>
      </c>
      <c r="R66" s="29" t="n">
        <f aca="false">O66+P66+Q66</f>
        <v>664.072061498835</v>
      </c>
      <c r="S66" s="26" t="n">
        <f aca="false">(E66*uDep+H66*uResp)*CycleLength</f>
        <v>0.0443036829020269</v>
      </c>
      <c r="T66" s="26" t="n">
        <f aca="false">S66/2</f>
        <v>0.0221518414510134</v>
      </c>
      <c r="U66" s="26" t="n">
        <f aca="false">1/(1+DiscRate)^(B66+CycleLength/2)</f>
        <v>0.843087945664672</v>
      </c>
      <c r="V66" s="29" t="n">
        <f aca="false">R66*U66</f>
        <v>559.871150102356</v>
      </c>
      <c r="W66" s="26" t="n">
        <f aca="false">T66*U66</f>
        <v>0.0186759505016245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2026-10-11T08:19:57Z</dcterms:created>
  <dc:creator>openpyxl</dc:creator>
  <dc:description/>
  <dc:language>en-US</dc:language>
  <cp:lastModifiedBy/>
  <dcterms:modified xsi:type="dcterms:W3CDTF">2026-10-13T06:36:44Z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